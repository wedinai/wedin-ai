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11 December 2021" sheetId="1" r:id="rId5"/>
    <sheet state="visible" name="Finalised budget - 11 December " sheetId="2" r:id="rId6"/>
  </sheets>
  <definedNames/>
  <calcPr/>
</workbook>
</file>

<file path=xl/sharedStrings.xml><?xml version="1.0" encoding="utf-8"?>
<sst xmlns="http://schemas.openxmlformats.org/spreadsheetml/2006/main" count="118" uniqueCount="63">
  <si>
    <t>Budget - 11 December 2021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</si>
  <si>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</si>
  <si>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</si>
  <si>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</si>
  <si>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</si>
  <si>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</si>
  <si>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Ceremony - Option One </t>
  </si>
  <si>
    <t xml:space="preserve">Solo guitar + vocals </t>
  </si>
  <si>
    <t xml:space="preserve">Ethan Florus </t>
  </si>
  <si>
    <t xml:space="preserve">Lize Mynhardt </t>
  </si>
  <si>
    <t xml:space="preserve">Ceremony - Option Two </t>
  </si>
  <si>
    <t xml:space="preserve">Choir </t>
  </si>
  <si>
    <t xml:space="preserve">Asili Vocal Ensemble </t>
  </si>
  <si>
    <t xml:space="preserve">Keys </t>
  </si>
  <si>
    <t xml:space="preserve">TBC </t>
  </si>
  <si>
    <t>Ceremony - Option Three</t>
  </si>
  <si>
    <t xml:space="preserve">String quartet </t>
  </si>
  <si>
    <t xml:space="preserve">Palm Strings </t>
  </si>
  <si>
    <t xml:space="preserve">Transition </t>
  </si>
  <si>
    <t xml:space="preserve">2 x Percussionists </t>
  </si>
  <si>
    <t xml:space="preserve">Il Afro Suns </t>
  </si>
  <si>
    <t xml:space="preserve">Pre-drinks </t>
  </si>
  <si>
    <t xml:space="preserve">Marimba Trio </t>
  </si>
  <si>
    <t>DJ</t>
  </si>
  <si>
    <t xml:space="preserve">Rus Nerwich </t>
  </si>
  <si>
    <t xml:space="preserve">Dinner - Option One </t>
  </si>
  <si>
    <t xml:space="preserve">Vocals </t>
  </si>
  <si>
    <t xml:space="preserve">Francesca Biancoli </t>
  </si>
  <si>
    <t xml:space="preserve">Saxophone </t>
  </si>
  <si>
    <t xml:space="preserve">Andrew Ford </t>
  </si>
  <si>
    <t xml:space="preserve">Bass </t>
  </si>
  <si>
    <t xml:space="preserve">Nicholas Williams </t>
  </si>
  <si>
    <t xml:space="preserve">Drums </t>
  </si>
  <si>
    <t xml:space="preserve">Kevin Gibson </t>
  </si>
  <si>
    <t xml:space="preserve">Dinner - Option Two </t>
  </si>
  <si>
    <t xml:space="preserve">DJ </t>
  </si>
  <si>
    <t xml:space="preserve">Dance </t>
  </si>
  <si>
    <t xml:space="preserve">Nathan Ambach </t>
  </si>
  <si>
    <t xml:space="preserve">Party </t>
  </si>
  <si>
    <t xml:space="preserve">Total musician expense </t>
  </si>
  <si>
    <t xml:space="preserve">Coordination </t>
  </si>
  <si>
    <t xml:space="preserve">Total expense </t>
  </si>
  <si>
    <t xml:space="preserve">Built-in commission </t>
  </si>
  <si>
    <t>Booking fee - 20%</t>
  </si>
  <si>
    <t xml:space="preserve">Total commission </t>
  </si>
  <si>
    <t xml:space="preserve">TON commission </t>
  </si>
  <si>
    <t xml:space="preserve">Dani commission </t>
  </si>
  <si>
    <t xml:space="preserve">Total excluding VAT </t>
  </si>
  <si>
    <t xml:space="preserve">VAT </t>
  </si>
  <si>
    <t xml:space="preserve">Total including VAT </t>
  </si>
  <si>
    <t xml:space="preserve">Total expense excluding VAT. </t>
  </si>
  <si>
    <t>PA</t>
  </si>
  <si>
    <t xml:space="preserve">Deposit payment </t>
  </si>
  <si>
    <t xml:space="preserve">Deposit payment excluding booking fee </t>
  </si>
  <si>
    <t xml:space="preserve">Lize deposit </t>
  </si>
  <si>
    <t xml:space="preserve">Lize balance </t>
  </si>
  <si>
    <t xml:space="preserve">Rus to DJ </t>
  </si>
  <si>
    <t>Blake Hellaby</t>
  </si>
  <si>
    <t>Deposit payment - 25%</t>
  </si>
  <si>
    <t>Deposit payment VAT</t>
  </si>
  <si>
    <t>Deposit payment excluding VAT</t>
  </si>
  <si>
    <t>Balance excluding VAT</t>
  </si>
  <si>
    <t>Balance of payment excluding 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</si>
</sst>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0"/>
    <col customWidth="1" min="3" max="3" width="16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3000.0</v>
      </c>
      <c r="E3" s="2">
        <f>D3*50/100+D3</f>
        <v>4500</v>
      </c>
    </row>
    <row r="4">
      <c r="A4" s="1"/>
      <c r="C4" s="1" t="s">
        <v>9</v>
      </c>
      <c r="D4" s="1">
        <v>5000.0</v>
      </c>
      <c r="E4" s="2">
        <f>D4*30/100+D4</f>
        <v>6500</v>
      </c>
    </row>
    <row r="5">
      <c r="A5" s="1"/>
      <c r="B5" s="1"/>
      <c r="C5" s="1"/>
    </row>
    <row r="6">
      <c r="A6" s="1" t="s">
        <v>10</v>
      </c>
      <c r="B6" s="1" t="s">
        <v>11</v>
      </c>
      <c r="C6" s="1" t="s">
        <v>12</v>
      </c>
      <c r="D6" s="2">
        <f>2000*10</f>
        <v>20000</v>
      </c>
      <c r="E6" s="2">
        <f>D6*30/100+D6</f>
        <v>26000</v>
      </c>
    </row>
    <row r="7">
      <c r="B7" s="1" t="s">
        <v>13</v>
      </c>
      <c r="C7" s="1" t="s">
        <v>14</v>
      </c>
      <c r="D7" s="1">
        <v>3000.0</v>
      </c>
      <c r="E7" s="2">
        <f>D7*50/100+D7</f>
        <v>4500</v>
      </c>
    </row>
    <row r="8">
      <c r="A8" s="1"/>
      <c r="B8" s="1"/>
    </row>
    <row r="9">
      <c r="A9" s="1" t="s">
        <v>15</v>
      </c>
      <c r="B9" s="1" t="s">
        <v>16</v>
      </c>
      <c r="C9" s="1" t="s">
        <v>17</v>
      </c>
      <c r="D9" s="2">
        <f>3000*4</f>
        <v>12000</v>
      </c>
      <c r="E9" s="2">
        <f>D9*20/100+D9</f>
        <v>14400</v>
      </c>
    </row>
    <row r="10">
      <c r="A10" s="1"/>
      <c r="B10" s="1"/>
    </row>
    <row r="11">
      <c r="A11" s="1" t="s">
        <v>18</v>
      </c>
      <c r="B11" s="1" t="s">
        <v>19</v>
      </c>
      <c r="C11" s="1" t="s">
        <v>20</v>
      </c>
      <c r="D11" s="2">
        <f>1500*2</f>
        <v>3000</v>
      </c>
      <c r="E11" s="2">
        <f>D11*50/100+D11</f>
        <v>4500</v>
      </c>
    </row>
    <row r="12">
      <c r="A12" s="1"/>
      <c r="B12" s="1"/>
      <c r="C12" s="1"/>
    </row>
    <row r="13">
      <c r="A13" s="1" t="s">
        <v>21</v>
      </c>
      <c r="B13" s="1" t="s">
        <v>22</v>
      </c>
      <c r="C13" s="1" t="s">
        <v>20</v>
      </c>
      <c r="D13" s="2">
        <f>1500*3</f>
        <v>4500</v>
      </c>
      <c r="E13" s="2">
        <f t="shared" ref="E13:E14" si="1">D13*50/100+D13</f>
        <v>6750</v>
      </c>
    </row>
    <row r="14">
      <c r="B14" s="1" t="s">
        <v>23</v>
      </c>
      <c r="C14" s="1" t="s">
        <v>24</v>
      </c>
      <c r="D14" s="2">
        <f>2500*2</f>
        <v>5000</v>
      </c>
      <c r="E14" s="2">
        <f t="shared" si="1"/>
        <v>7500</v>
      </c>
    </row>
    <row r="15">
      <c r="D15" s="2">
        <f t="shared" ref="D15:E15" si="2">SUM(D13:D14)</f>
        <v>9500</v>
      </c>
      <c r="E15" s="2">
        <f t="shared" si="2"/>
        <v>14250</v>
      </c>
    </row>
    <row r="16">
      <c r="A16" s="1"/>
      <c r="B16" s="1"/>
      <c r="C16" s="1"/>
      <c r="D16" s="1"/>
    </row>
    <row r="17">
      <c r="A17" s="1" t="s">
        <v>25</v>
      </c>
      <c r="B17" s="1" t="s">
        <v>26</v>
      </c>
      <c r="C17" s="1" t="s">
        <v>27</v>
      </c>
      <c r="D17" s="1">
        <v>2000.0</v>
      </c>
      <c r="E17" s="2">
        <f t="shared" ref="E17:E21" si="3">D17*50/100+D17</f>
        <v>3000</v>
      </c>
    </row>
    <row r="18">
      <c r="B18" s="1" t="s">
        <v>28</v>
      </c>
      <c r="C18" s="1" t="s">
        <v>24</v>
      </c>
      <c r="D18" s="1">
        <v>2000.0</v>
      </c>
      <c r="E18" s="2">
        <f t="shared" si="3"/>
        <v>3000</v>
      </c>
    </row>
    <row r="19">
      <c r="A19" s="1"/>
      <c r="B19" s="1" t="s">
        <v>13</v>
      </c>
      <c r="C19" s="1" t="s">
        <v>29</v>
      </c>
      <c r="D19" s="1">
        <v>2000.0</v>
      </c>
      <c r="E19" s="2">
        <f t="shared" si="3"/>
        <v>3000</v>
      </c>
    </row>
    <row r="20">
      <c r="A20" s="1"/>
      <c r="B20" s="1" t="s">
        <v>30</v>
      </c>
      <c r="C20" s="1" t="s">
        <v>31</v>
      </c>
      <c r="D20" s="1">
        <v>2000.0</v>
      </c>
      <c r="E20" s="2">
        <f t="shared" si="3"/>
        <v>3000</v>
      </c>
    </row>
    <row r="21">
      <c r="A21" s="1"/>
      <c r="B21" s="1" t="s">
        <v>32</v>
      </c>
      <c r="C21" s="1" t="s">
        <v>33</v>
      </c>
      <c r="D21" s="1">
        <v>2000.0</v>
      </c>
      <c r="E21" s="2">
        <f t="shared" si="3"/>
        <v>3000</v>
      </c>
    </row>
    <row r="22">
      <c r="A22" s="1"/>
      <c r="D22" s="2">
        <f t="shared" ref="D22:E22" si="4">SUM(D17:D21)</f>
        <v>10000</v>
      </c>
      <c r="E22" s="2">
        <f t="shared" si="4"/>
        <v>15000</v>
      </c>
    </row>
    <row r="23">
      <c r="A23" s="1"/>
      <c r="B23" s="1"/>
      <c r="C23" s="1"/>
    </row>
    <row r="24">
      <c r="A24" s="1" t="s">
        <v>34</v>
      </c>
      <c r="B24" s="1" t="s">
        <v>35</v>
      </c>
      <c r="C24" s="1" t="s">
        <v>24</v>
      </c>
      <c r="D24" s="2">
        <f>1500*2</f>
        <v>3000</v>
      </c>
      <c r="E24" s="2">
        <f>D24*50/100+D24</f>
        <v>4500</v>
      </c>
    </row>
    <row r="25">
      <c r="A25" s="1"/>
      <c r="B25" s="1"/>
      <c r="C25" s="1"/>
    </row>
    <row r="26">
      <c r="A26" s="1" t="s">
        <v>36</v>
      </c>
      <c r="B26" s="1" t="s">
        <v>26</v>
      </c>
      <c r="C26" s="1" t="s">
        <v>37</v>
      </c>
      <c r="D26" s="2">
        <f>5000</f>
        <v>5000</v>
      </c>
      <c r="E26" s="2">
        <f t="shared" ref="E26:E31" si="5">D26*50/100+D26</f>
        <v>7500</v>
      </c>
    </row>
    <row r="27">
      <c r="B27" s="1" t="s">
        <v>26</v>
      </c>
      <c r="C27" s="1" t="s">
        <v>27</v>
      </c>
      <c r="D27" s="1">
        <v>3000.0</v>
      </c>
      <c r="E27" s="2">
        <f t="shared" si="5"/>
        <v>4500</v>
      </c>
    </row>
    <row r="28">
      <c r="B28" s="1" t="s">
        <v>28</v>
      </c>
      <c r="C28" s="1" t="s">
        <v>24</v>
      </c>
      <c r="D28" s="1">
        <v>3000.0</v>
      </c>
      <c r="E28" s="2">
        <f t="shared" si="5"/>
        <v>4500</v>
      </c>
    </row>
    <row r="29">
      <c r="B29" s="1" t="s">
        <v>13</v>
      </c>
      <c r="C29" s="1" t="s">
        <v>29</v>
      </c>
      <c r="D29" s="1">
        <v>3000.0</v>
      </c>
      <c r="E29" s="2">
        <f t="shared" si="5"/>
        <v>4500</v>
      </c>
    </row>
    <row r="30">
      <c r="B30" s="1" t="s">
        <v>30</v>
      </c>
      <c r="C30" s="1" t="s">
        <v>31</v>
      </c>
      <c r="D30" s="1">
        <v>3000.0</v>
      </c>
      <c r="E30" s="2">
        <f t="shared" si="5"/>
        <v>4500</v>
      </c>
    </row>
    <row r="31">
      <c r="B31" s="1" t="s">
        <v>32</v>
      </c>
      <c r="C31" s="1" t="s">
        <v>33</v>
      </c>
      <c r="D31" s="1">
        <v>3000.0</v>
      </c>
      <c r="E31" s="2">
        <f t="shared" si="5"/>
        <v>4500</v>
      </c>
    </row>
    <row r="32">
      <c r="A32" s="1"/>
      <c r="D32" s="2">
        <f t="shared" ref="D32:E32" si="6">SUM(D26:D31)</f>
        <v>20000</v>
      </c>
      <c r="E32" s="2">
        <f t="shared" si="6"/>
        <v>30000</v>
      </c>
    </row>
    <row r="33">
      <c r="A33" s="1"/>
      <c r="B33" s="1"/>
      <c r="C33" s="1"/>
      <c r="D33" s="1"/>
      <c r="E33" s="1"/>
    </row>
    <row r="34">
      <c r="A34" s="1" t="s">
        <v>38</v>
      </c>
      <c r="B34" s="1" t="s">
        <v>35</v>
      </c>
      <c r="C34" s="1" t="s">
        <v>14</v>
      </c>
      <c r="D34" s="1">
        <v>12000.0</v>
      </c>
      <c r="E34" s="1">
        <v>15000.0</v>
      </c>
    </row>
    <row r="36">
      <c r="C36" s="1" t="s">
        <v>39</v>
      </c>
      <c r="D36" s="2">
        <f t="shared" ref="D36:E36" si="7">SUM(D3,D11,D15,D22,D32,D34)</f>
        <v>57500</v>
      </c>
      <c r="E36" s="2">
        <f t="shared" si="7"/>
        <v>83250</v>
      </c>
    </row>
    <row r="37">
      <c r="C37" s="1" t="s">
        <v>40</v>
      </c>
      <c r="D37" s="1">
        <v>3000.0</v>
      </c>
      <c r="E37" s="1">
        <v>3000.0</v>
      </c>
    </row>
    <row r="38">
      <c r="C38" s="1" t="s">
        <v>41</v>
      </c>
      <c r="D38" s="2">
        <f t="shared" ref="D38:E38" si="8">SUM(D36:D37)</f>
        <v>60500</v>
      </c>
      <c r="E38" s="2">
        <f t="shared" si="8"/>
        <v>86250</v>
      </c>
    </row>
    <row r="40">
      <c r="A40" s="1" t="s">
        <v>42</v>
      </c>
      <c r="B40" s="2">
        <f>E38-D38</f>
        <v>25750</v>
      </c>
    </row>
    <row r="41">
      <c r="A41" s="1" t="s">
        <v>43</v>
      </c>
      <c r="B41" s="2">
        <f>E36*20/100</f>
        <v>16650</v>
      </c>
    </row>
    <row r="42">
      <c r="A42" s="1" t="s">
        <v>44</v>
      </c>
      <c r="B42" s="2">
        <f>SUM(B40:B41)</f>
        <v>42400</v>
      </c>
    </row>
    <row r="43">
      <c r="A43" s="1" t="s">
        <v>45</v>
      </c>
      <c r="B43" s="2">
        <f>B42-B44</f>
        <v>33920</v>
      </c>
    </row>
    <row r="44">
      <c r="A44" s="1" t="s">
        <v>46</v>
      </c>
      <c r="B44" s="2">
        <f>B42*20/100</f>
        <v>8480</v>
      </c>
    </row>
    <row r="45">
      <c r="A45" s="1" t="s">
        <v>47</v>
      </c>
      <c r="B45" s="2">
        <f>SUM(E38,B41)</f>
        <v>102900</v>
      </c>
    </row>
    <row r="46">
      <c r="A46" s="1" t="s">
        <v>48</v>
      </c>
      <c r="B46" s="2">
        <f>B45*15/100</f>
        <v>15435</v>
      </c>
    </row>
    <row r="47">
      <c r="A47" s="1" t="s">
        <v>49</v>
      </c>
      <c r="B47" s="2">
        <f>SUM(B45:B46)</f>
        <v>118335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0"/>
    <col customWidth="1" min="3" max="3" width="16.88"/>
    <col customWidth="1" min="8" max="8" width="30.5"/>
  </cols>
  <sheetData>
    <row r="1">
      <c r="A1" s="1" t="s">
        <v>0</v>
      </c>
      <c r="F1" s="1" t="s">
        <v>50</v>
      </c>
      <c r="G1" s="2">
        <f>SUM(D3,D5,D9,D11,D12,D13,D16,D19,B26)</f>
        <v>38880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3">
        <f>B33-G1</f>
        <v>16233.75</v>
      </c>
    </row>
    <row r="3">
      <c r="A3" s="1" t="s">
        <v>6</v>
      </c>
      <c r="B3" s="1" t="s">
        <v>7</v>
      </c>
      <c r="C3" s="1" t="s">
        <v>9</v>
      </c>
      <c r="D3" s="1">
        <v>5000.0</v>
      </c>
      <c r="E3" s="2">
        <f>D3*30/100+D3</f>
        <v>6500</v>
      </c>
      <c r="G3" s="1" t="s">
        <v>51</v>
      </c>
      <c r="H3" s="4" t="s">
        <v>52</v>
      </c>
      <c r="I3" s="5">
        <v>18371.25</v>
      </c>
    </row>
    <row r="4">
      <c r="A4" s="1"/>
      <c r="H4" s="4" t="s">
        <v>53</v>
      </c>
      <c r="I4" s="6">
        <f>I3/120*100</f>
        <v>15309.375</v>
      </c>
    </row>
    <row r="5">
      <c r="A5" s="1" t="s">
        <v>21</v>
      </c>
      <c r="B5" s="1" t="s">
        <v>22</v>
      </c>
      <c r="C5" s="1" t="s">
        <v>20</v>
      </c>
      <c r="D5" s="2">
        <f>1500*3</f>
        <v>4500</v>
      </c>
      <c r="E5" s="2">
        <f t="shared" ref="E5:E6" si="1">D5*50/100+D5</f>
        <v>6750</v>
      </c>
      <c r="H5" s="4" t="s">
        <v>54</v>
      </c>
      <c r="I5" s="4">
        <v>2500.0</v>
      </c>
    </row>
    <row r="6">
      <c r="B6" s="1" t="s">
        <v>23</v>
      </c>
      <c r="C6" s="1" t="s">
        <v>24</v>
      </c>
      <c r="D6" s="2">
        <f>2500*2</f>
        <v>5000</v>
      </c>
      <c r="E6" s="2">
        <f t="shared" si="1"/>
        <v>7500</v>
      </c>
      <c r="H6" s="6"/>
      <c r="I6" s="6">
        <f>I4-I5</f>
        <v>12809.375</v>
      </c>
    </row>
    <row r="7">
      <c r="D7" s="2">
        <f t="shared" ref="D7:E7" si="2">SUM(D5:D6)</f>
        <v>9500</v>
      </c>
      <c r="E7" s="2">
        <f t="shared" si="2"/>
        <v>14250</v>
      </c>
      <c r="H7" s="4" t="s">
        <v>55</v>
      </c>
      <c r="I7" s="4">
        <v>2500.0</v>
      </c>
    </row>
    <row r="8">
      <c r="A8" s="1"/>
      <c r="B8" s="1"/>
      <c r="C8" s="1"/>
      <c r="D8" s="1"/>
      <c r="H8" s="4" t="s">
        <v>56</v>
      </c>
      <c r="I8" s="6">
        <f>I6-I7</f>
        <v>10309.375</v>
      </c>
    </row>
    <row r="9">
      <c r="A9" s="1" t="s">
        <v>25</v>
      </c>
      <c r="B9" s="1" t="s">
        <v>26</v>
      </c>
      <c r="C9" s="1" t="s">
        <v>27</v>
      </c>
      <c r="D9" s="1">
        <v>2500.0</v>
      </c>
      <c r="E9" s="1">
        <v>3000.0</v>
      </c>
    </row>
    <row r="10">
      <c r="B10" s="1" t="s">
        <v>28</v>
      </c>
      <c r="C10" s="1" t="s">
        <v>24</v>
      </c>
      <c r="D10" s="1">
        <v>2500.0</v>
      </c>
      <c r="E10" s="1">
        <v>3000.0</v>
      </c>
    </row>
    <row r="11">
      <c r="A11" s="1"/>
      <c r="B11" s="1" t="s">
        <v>13</v>
      </c>
      <c r="C11" s="1" t="s">
        <v>57</v>
      </c>
      <c r="D11" s="1">
        <v>2500.0</v>
      </c>
      <c r="E11" s="1">
        <v>3000.0</v>
      </c>
    </row>
    <row r="12">
      <c r="A12" s="1"/>
      <c r="B12" s="1" t="s">
        <v>30</v>
      </c>
      <c r="C12" s="1" t="s">
        <v>31</v>
      </c>
      <c r="D12" s="1">
        <v>2500.0</v>
      </c>
      <c r="E12" s="1">
        <v>3000.0</v>
      </c>
    </row>
    <row r="13">
      <c r="A13" s="1"/>
      <c r="B13" s="1" t="s">
        <v>32</v>
      </c>
      <c r="C13" s="1" t="s">
        <v>33</v>
      </c>
      <c r="D13" s="1">
        <v>2500.0</v>
      </c>
      <c r="E13" s="1">
        <v>3000.0</v>
      </c>
    </row>
    <row r="14">
      <c r="A14" s="1"/>
      <c r="D14" s="2">
        <f t="shared" ref="D14:E14" si="3">SUM(D9:D13)</f>
        <v>12500</v>
      </c>
      <c r="E14" s="2">
        <f t="shared" si="3"/>
        <v>15000</v>
      </c>
    </row>
    <row r="15">
      <c r="A15" s="1"/>
      <c r="B15" s="1"/>
      <c r="C15" s="1"/>
      <c r="D15" s="1"/>
      <c r="E15" s="1"/>
    </row>
    <row r="16">
      <c r="A16" s="1" t="s">
        <v>38</v>
      </c>
      <c r="B16" s="1" t="s">
        <v>35</v>
      </c>
      <c r="C16" s="1" t="s">
        <v>37</v>
      </c>
      <c r="D16" s="1">
        <v>12000.0</v>
      </c>
      <c r="E16" s="1">
        <v>15000.0</v>
      </c>
    </row>
    <row r="18">
      <c r="C18" s="1" t="s">
        <v>39</v>
      </c>
      <c r="D18" s="2">
        <f t="shared" ref="D18:E18" si="4">SUM(D3,D7,D14,D16)</f>
        <v>39000</v>
      </c>
      <c r="E18" s="2">
        <f t="shared" si="4"/>
        <v>50750</v>
      </c>
    </row>
    <row r="19">
      <c r="C19" s="1" t="s">
        <v>40</v>
      </c>
      <c r="D19" s="1">
        <v>3000.0</v>
      </c>
      <c r="E19" s="1">
        <v>3000.0</v>
      </c>
    </row>
    <row r="20">
      <c r="C20" s="1" t="s">
        <v>41</v>
      </c>
      <c r="D20" s="2">
        <f t="shared" ref="D20:E20" si="5">SUM(D18:D19)</f>
        <v>42000</v>
      </c>
      <c r="E20" s="2">
        <f t="shared" si="5"/>
        <v>53750</v>
      </c>
    </row>
    <row r="22">
      <c r="A22" s="1" t="s">
        <v>42</v>
      </c>
      <c r="B22" s="3">
        <f>E20-D20</f>
        <v>11750</v>
      </c>
    </row>
    <row r="23">
      <c r="A23" s="1" t="s">
        <v>43</v>
      </c>
      <c r="B23" s="3">
        <f>E18*20/100</f>
        <v>10150</v>
      </c>
    </row>
    <row r="24">
      <c r="A24" s="1" t="s">
        <v>44</v>
      </c>
      <c r="B24" s="3">
        <f>SUM(B22:B23)</f>
        <v>21900</v>
      </c>
    </row>
    <row r="25">
      <c r="A25" s="1" t="s">
        <v>45</v>
      </c>
      <c r="B25" s="3">
        <f>B24-B26</f>
        <v>17520</v>
      </c>
    </row>
    <row r="26">
      <c r="A26" s="1" t="s">
        <v>46</v>
      </c>
      <c r="B26" s="3">
        <f>B24*20/100</f>
        <v>4380</v>
      </c>
    </row>
    <row r="27">
      <c r="A27" s="1" t="s">
        <v>47</v>
      </c>
      <c r="B27" s="3">
        <f>SUM(E20,B23)</f>
        <v>63900</v>
      </c>
    </row>
    <row r="28">
      <c r="A28" s="1" t="s">
        <v>48</v>
      </c>
      <c r="B28" s="3">
        <f>B27*15/100</f>
        <v>9585</v>
      </c>
    </row>
    <row r="29">
      <c r="A29" s="1" t="s">
        <v>49</v>
      </c>
      <c r="B29" s="3">
        <f>SUM(B27:B28)</f>
        <v>73485</v>
      </c>
    </row>
    <row r="30">
      <c r="A30" s="1" t="s">
        <v>58</v>
      </c>
      <c r="B30" s="7">
        <v>18371.25</v>
      </c>
    </row>
    <row r="31">
      <c r="A31" s="1" t="s">
        <v>59</v>
      </c>
      <c r="B31" s="7">
        <f>B32*15/100</f>
        <v>2396.25</v>
      </c>
      <c r="C31" s="8"/>
    </row>
    <row r="32">
      <c r="A32" s="1" t="s">
        <v>60</v>
      </c>
      <c r="B32" s="3">
        <f>(B30/115)*100</f>
        <v>15975</v>
      </c>
    </row>
    <row r="33">
      <c r="A33" s="1" t="s">
        <v>61</v>
      </c>
      <c r="B33" s="3">
        <f>(B29-B30)</f>
        <v>55113.75</v>
      </c>
      <c r="C33" s="8"/>
    </row>
    <row r="34">
      <c r="A34" s="1" t="s">
        <v>62</v>
      </c>
      <c r="B34" s="3">
        <f>(B33/115)*100</f>
        <v>47925</v>
      </c>
      <c r="C34" s="8"/>
    </row>
  </sheetData>
  <drawing r:id="rId1"/>
</worksheet>
</file>