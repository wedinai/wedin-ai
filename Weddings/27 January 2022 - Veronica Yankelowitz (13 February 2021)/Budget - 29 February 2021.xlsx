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- 29 January 2022" sheetId="1" r:id="rId4"/>
    <sheet state="visible" name="Updated Budget - 29 January 202" sheetId="2" r:id="rId5"/>
    <sheet state="visible" name="Budget - 27 January 2022" sheetId="3" r:id="rId6"/>
  </sheets>
  <definedNames/>
  <calcPr/>
  <extLst>
    <ext uri="GoogleSheetsCustomDataVersion1">
      <go:sheetsCustomData xmlns:go="http://customooxmlschemas.google.com/" r:id="rId7" roundtripDataSignature="AMtx7mjJaTR/9PVSvjCzqQglgQXgUP4Th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12">
      <text>
        <t xml:space="preserve">======
ID#AAAAQ2ICqk8
Tones of Note    (2021-11-11 06:58:32)
Dani to check whether this is the deposit payment that was made to her on 30/07/2021</t>
      </text>
    </comment>
  </commentList>
  <extLst>
    <ext uri="GoogleSheetsCustomDataVersion1">
      <go:sheetsCustomData xmlns:go="http://customooxmlschemas.google.com/" r:id="rId1" roundtripDataSignature="AMtx7midj0xITMG6CDN8cE62nUYDhS9fWA=="/>
    </ext>
  </extLst>
</comments>
</file>

<file path=xl/sharedStrings.xml><?xml version="1.0" encoding="utf-8"?>
<sst xmlns="http://schemas.openxmlformats.org/spreadsheetml/2006/main" count="193" uniqueCount="69">
  <si>
    <t xml:space="preserve">Budget - 13 February 2020 </t>
  </si>
  <si>
    <t xml:space="preserve">Individual Musican Costs </t>
  </si>
  <si>
    <t>Set</t>
  </si>
  <si>
    <t>Musician Type</t>
  </si>
  <si>
    <t>Musician Name</t>
  </si>
  <si>
    <t xml:space="preserve">Rate </t>
  </si>
  <si>
    <t xml:space="preserve">Quoted Rate </t>
  </si>
  <si>
    <t xml:space="preserve">Il Afro Suns x 3 musicians </t>
  </si>
  <si>
    <t xml:space="preserve">Rus Nerwich </t>
  </si>
  <si>
    <t xml:space="preserve">Sax TBC </t>
  </si>
  <si>
    <t xml:space="preserve">Ceremony </t>
  </si>
  <si>
    <t xml:space="preserve">Tracks played through PA </t>
  </si>
  <si>
    <t>N/A</t>
  </si>
  <si>
    <t xml:space="preserve">Marco Maritz </t>
  </si>
  <si>
    <t xml:space="preserve">Transition </t>
  </si>
  <si>
    <t xml:space="preserve">3 x African Percussionist </t>
  </si>
  <si>
    <t xml:space="preserve">Il Afro Suns </t>
  </si>
  <si>
    <t xml:space="preserve">Blake Hellaby </t>
  </si>
  <si>
    <t xml:space="preserve">Nicholas Williams </t>
  </si>
  <si>
    <t xml:space="preserve">Francesca Biancoli </t>
  </si>
  <si>
    <t xml:space="preserve">Pre-drinks </t>
  </si>
  <si>
    <t xml:space="preserve">DJ </t>
  </si>
  <si>
    <t xml:space="preserve">Angelo Syster </t>
  </si>
  <si>
    <t xml:space="preserve">Saxophone </t>
  </si>
  <si>
    <t xml:space="preserve">Kevin Gibson </t>
  </si>
  <si>
    <t xml:space="preserve">Nathan Ambach </t>
  </si>
  <si>
    <t xml:space="preserve">Dani Marano </t>
  </si>
  <si>
    <t xml:space="preserve">Total expense </t>
  </si>
  <si>
    <t>Dinner</t>
  </si>
  <si>
    <t xml:space="preserve">Coming in </t>
  </si>
  <si>
    <t xml:space="preserve">Keys </t>
  </si>
  <si>
    <t xml:space="preserve">Andrew Ford </t>
  </si>
  <si>
    <t xml:space="preserve">Bass </t>
  </si>
  <si>
    <t xml:space="preserve">Drums </t>
  </si>
  <si>
    <t xml:space="preserve">Additional Options </t>
  </si>
  <si>
    <t xml:space="preserve">Vocals </t>
  </si>
  <si>
    <t xml:space="preserve">Dance </t>
  </si>
  <si>
    <t xml:space="preserve">Guitar </t>
  </si>
  <si>
    <t>Trumpet</t>
  </si>
  <si>
    <t>Keys</t>
  </si>
  <si>
    <t>Party</t>
  </si>
  <si>
    <t xml:space="preserve">Total musician expense </t>
  </si>
  <si>
    <t xml:space="preserve">Coorindation </t>
  </si>
  <si>
    <t>Total expense</t>
  </si>
  <si>
    <t xml:space="preserve">Built in commission </t>
  </si>
  <si>
    <t>Booking fee - 20%</t>
  </si>
  <si>
    <t xml:space="preserve">Total commission </t>
  </si>
  <si>
    <t xml:space="preserve">Dani commission </t>
  </si>
  <si>
    <t xml:space="preserve">TON commission </t>
  </si>
  <si>
    <t xml:space="preserve">Total excluding VAT </t>
  </si>
  <si>
    <t xml:space="preserve">VAT </t>
  </si>
  <si>
    <t xml:space="preserve">Total including VAT </t>
  </si>
  <si>
    <t xml:space="preserve">Deposit payment received </t>
  </si>
  <si>
    <t xml:space="preserve">Balance of payment </t>
  </si>
  <si>
    <t xml:space="preserve">Bradley Prince </t>
  </si>
  <si>
    <t xml:space="preserve">Trumpet </t>
  </si>
  <si>
    <t>Guitar</t>
  </si>
  <si>
    <t xml:space="preserve">Budget - 10 February 2021 </t>
  </si>
  <si>
    <t>Individual musician rates</t>
  </si>
  <si>
    <t xml:space="preserve">Musician Type </t>
  </si>
  <si>
    <t xml:space="preserve">Musician Name </t>
  </si>
  <si>
    <t xml:space="preserve">Ethan Florus </t>
  </si>
  <si>
    <t>Saxophone</t>
  </si>
  <si>
    <t>Bass</t>
  </si>
  <si>
    <t>Drums</t>
  </si>
  <si>
    <t>Dani Marano</t>
  </si>
  <si>
    <t>Total expense excl. VAT</t>
  </si>
  <si>
    <t xml:space="preserve">Coordination </t>
  </si>
  <si>
    <t xml:space="preserve">Booking fee - 20%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</si>
</sst>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0.25"/>
    <col customWidth="1" min="3" max="3" width="19.75"/>
    <col customWidth="1" min="4" max="4" width="8.75"/>
    <col customWidth="1" min="5" max="5" width="13.75"/>
    <col customWidth="1" min="6" max="6" width="7.63"/>
    <col customWidth="1" min="7" max="7" width="20.63"/>
    <col customWidth="1" min="8" max="8" width="5.25"/>
    <col customWidth="1" min="9" max="26" width="7.63"/>
  </cols>
  <sheetData>
    <row r="1">
      <c r="A1" s="1" t="s">
        <v>0</v>
      </c>
      <c r="B1" s="1"/>
      <c r="C1" s="1"/>
      <c r="D1" s="1"/>
      <c r="E1" s="1"/>
      <c r="F1" s="1"/>
      <c r="G1" s="1" t="s">
        <v>1</v>
      </c>
      <c r="H1" s="1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/>
      <c r="G2" s="1" t="s">
        <v>7</v>
      </c>
      <c r="H2" s="2">
        <v>3000.0</v>
      </c>
    </row>
    <row r="3">
      <c r="A3" s="1"/>
      <c r="B3" s="1"/>
      <c r="C3" s="1"/>
      <c r="D3" s="3"/>
      <c r="E3" s="3"/>
      <c r="F3" s="1"/>
      <c r="G3" s="1" t="s">
        <v>8</v>
      </c>
      <c r="H3" s="2">
        <f>SUM(D9,D10,D14)</f>
        <v>7000</v>
      </c>
    </row>
    <row r="4">
      <c r="A4" s="1"/>
      <c r="B4" s="1"/>
      <c r="C4" s="1"/>
      <c r="D4" s="1"/>
      <c r="E4" s="1"/>
      <c r="F4" s="1"/>
      <c r="G4" s="4" t="s">
        <v>9</v>
      </c>
      <c r="H4" s="2">
        <v>3000.0</v>
      </c>
    </row>
    <row r="5">
      <c r="A5" s="1" t="s">
        <v>10</v>
      </c>
      <c r="B5" s="1" t="s">
        <v>11</v>
      </c>
      <c r="C5" s="1" t="s">
        <v>12</v>
      </c>
      <c r="D5" s="1" t="s">
        <v>12</v>
      </c>
      <c r="E5" s="1" t="s">
        <v>12</v>
      </c>
      <c r="F5" s="1"/>
      <c r="G5" s="1" t="s">
        <v>13</v>
      </c>
      <c r="H5" s="2">
        <f>SUM(D26)</f>
        <v>3000</v>
      </c>
    </row>
    <row r="6">
      <c r="A6" s="1" t="s">
        <v>14</v>
      </c>
      <c r="B6" s="1" t="s">
        <v>15</v>
      </c>
      <c r="C6" s="1" t="s">
        <v>16</v>
      </c>
      <c r="D6" s="3">
        <v>3000.0</v>
      </c>
      <c r="E6" s="3">
        <v>5000.0</v>
      </c>
      <c r="F6" s="1"/>
      <c r="G6" s="2" t="s">
        <v>17</v>
      </c>
      <c r="H6" s="1">
        <f t="shared" ref="H6:H8" si="1">SUM(D15,D27)</f>
        <v>4000</v>
      </c>
    </row>
    <row r="7">
      <c r="A7" s="1"/>
      <c r="B7" s="1"/>
      <c r="C7" s="1"/>
      <c r="D7" s="1"/>
      <c r="E7" s="1"/>
      <c r="F7" s="1"/>
      <c r="G7" s="1" t="s">
        <v>18</v>
      </c>
      <c r="H7" s="1">
        <f t="shared" si="1"/>
        <v>4000</v>
      </c>
    </row>
    <row r="8">
      <c r="A8" s="1"/>
      <c r="B8" s="1"/>
      <c r="C8" s="1"/>
      <c r="D8" s="1"/>
      <c r="E8" s="1"/>
      <c r="F8" s="1"/>
      <c r="G8" s="1" t="s">
        <v>19</v>
      </c>
      <c r="H8" s="1">
        <f t="shared" si="1"/>
        <v>4000</v>
      </c>
    </row>
    <row r="9">
      <c r="A9" s="1" t="s">
        <v>20</v>
      </c>
      <c r="B9" s="1" t="s">
        <v>21</v>
      </c>
      <c r="C9" s="1" t="s">
        <v>8</v>
      </c>
      <c r="D9" s="1">
        <v>3000.0</v>
      </c>
      <c r="E9" s="1">
        <f t="shared" ref="E9:E10" si="2">D9*70/100+D9</f>
        <v>5100</v>
      </c>
      <c r="F9" s="1"/>
      <c r="G9" s="1" t="s">
        <v>22</v>
      </c>
      <c r="H9" s="1">
        <f>SUM(D24)</f>
        <v>3000</v>
      </c>
    </row>
    <row r="10">
      <c r="A10" s="1"/>
      <c r="B10" s="1" t="s">
        <v>23</v>
      </c>
      <c r="C10" s="1" t="s">
        <v>8</v>
      </c>
      <c r="D10" s="1">
        <v>2000.0</v>
      </c>
      <c r="E10" s="1">
        <f t="shared" si="2"/>
        <v>3400</v>
      </c>
      <c r="F10" s="1"/>
      <c r="G10" s="1" t="s">
        <v>24</v>
      </c>
      <c r="H10" s="1">
        <f>SUM(D17,D29)</f>
        <v>4000</v>
      </c>
    </row>
    <row r="11">
      <c r="A11" s="1"/>
      <c r="B11" s="1"/>
      <c r="C11" s="1"/>
      <c r="D11" s="3">
        <f t="shared" ref="D11:E11" si="3">SUM(D9:D10)</f>
        <v>5000</v>
      </c>
      <c r="E11" s="3">
        <f t="shared" si="3"/>
        <v>8500</v>
      </c>
      <c r="F11" s="1"/>
      <c r="G11" s="1" t="s">
        <v>25</v>
      </c>
      <c r="H11" s="1">
        <f>SUM(D19,D22,D32)</f>
        <v>20000</v>
      </c>
    </row>
    <row r="12">
      <c r="A12" s="1"/>
      <c r="B12" s="1"/>
      <c r="C12" s="1"/>
      <c r="D12" s="1"/>
      <c r="E12" s="1"/>
      <c r="F12" s="1"/>
      <c r="G12" s="2" t="s">
        <v>26</v>
      </c>
      <c r="H12" s="2">
        <v>3000.0</v>
      </c>
    </row>
    <row r="13">
      <c r="A13" s="1"/>
      <c r="B13" s="1"/>
      <c r="C13" s="1"/>
      <c r="D13" s="1"/>
      <c r="E13" s="1"/>
      <c r="F13" s="1"/>
      <c r="G13" s="2" t="s">
        <v>27</v>
      </c>
      <c r="H13" s="1">
        <f>SUM(H2,H4:H12)</f>
        <v>51000</v>
      </c>
    </row>
    <row r="14">
      <c r="A14" s="1" t="s">
        <v>28</v>
      </c>
      <c r="B14" s="1" t="s">
        <v>23</v>
      </c>
      <c r="C14" s="1" t="s">
        <v>8</v>
      </c>
      <c r="D14" s="1">
        <v>2000.0</v>
      </c>
      <c r="E14" s="1">
        <f t="shared" ref="E14:E19" si="4">D14*70/100+D14</f>
        <v>3400</v>
      </c>
      <c r="F14" s="1"/>
      <c r="G14" s="2" t="s">
        <v>29</v>
      </c>
      <c r="H14" s="5">
        <v>59512.5</v>
      </c>
    </row>
    <row r="15">
      <c r="A15" s="1"/>
      <c r="B15" s="1" t="s">
        <v>30</v>
      </c>
      <c r="C15" s="1" t="s">
        <v>31</v>
      </c>
      <c r="D15" s="1">
        <v>2000.0</v>
      </c>
      <c r="E15" s="1">
        <f t="shared" si="4"/>
        <v>3400</v>
      </c>
      <c r="F15" s="1"/>
      <c r="G15" s="2"/>
      <c r="H15" s="1"/>
    </row>
    <row r="16">
      <c r="A16" s="1"/>
      <c r="B16" s="1" t="s">
        <v>32</v>
      </c>
      <c r="C16" s="1" t="s">
        <v>18</v>
      </c>
      <c r="D16" s="1">
        <v>2000.0</v>
      </c>
      <c r="E16" s="1">
        <f t="shared" si="4"/>
        <v>3400</v>
      </c>
      <c r="F16" s="1"/>
      <c r="G16" s="1"/>
      <c r="H16" s="1"/>
    </row>
    <row r="17">
      <c r="A17" s="1"/>
      <c r="B17" s="1" t="s">
        <v>33</v>
      </c>
      <c r="C17" s="1" t="s">
        <v>24</v>
      </c>
      <c r="D17" s="1">
        <v>2000.0</v>
      </c>
      <c r="E17" s="1">
        <f t="shared" si="4"/>
        <v>3400</v>
      </c>
      <c r="F17" s="1"/>
      <c r="G17" s="1"/>
      <c r="H17" s="1"/>
    </row>
    <row r="18">
      <c r="A18" s="1" t="s">
        <v>34</v>
      </c>
      <c r="B18" s="1" t="s">
        <v>35</v>
      </c>
      <c r="C18" s="1" t="s">
        <v>19</v>
      </c>
      <c r="D18" s="1">
        <v>2000.0</v>
      </c>
      <c r="E18" s="1">
        <f t="shared" si="4"/>
        <v>3400</v>
      </c>
      <c r="F18" s="1"/>
      <c r="G18" s="1"/>
      <c r="H18" s="1"/>
    </row>
    <row r="19">
      <c r="A19" s="1"/>
      <c r="B19" s="1" t="s">
        <v>35</v>
      </c>
      <c r="C19" s="1" t="s">
        <v>25</v>
      </c>
      <c r="D19" s="1">
        <v>2000.0</v>
      </c>
      <c r="E19" s="1">
        <f t="shared" si="4"/>
        <v>3400</v>
      </c>
      <c r="F19" s="1"/>
      <c r="G19" s="1"/>
      <c r="H19" s="1"/>
    </row>
    <row r="20">
      <c r="A20" s="1"/>
      <c r="B20" s="1"/>
      <c r="C20" s="1"/>
      <c r="D20" s="3">
        <f t="shared" ref="D20:E20" si="5">SUM(D14:D19)</f>
        <v>12000</v>
      </c>
      <c r="E20" s="3">
        <f t="shared" si="5"/>
        <v>20400</v>
      </c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 t="s">
        <v>36</v>
      </c>
      <c r="B22" s="1" t="s">
        <v>35</v>
      </c>
      <c r="C22" s="1" t="s">
        <v>25</v>
      </c>
      <c r="D22" s="1">
        <v>5500.0</v>
      </c>
      <c r="E22" s="1">
        <f t="shared" ref="E22:E25" si="6">D22*70/100+D22</f>
        <v>9350</v>
      </c>
      <c r="F22" s="1"/>
      <c r="G22" s="1"/>
      <c r="H22" s="1"/>
    </row>
    <row r="23" ht="15.75" customHeight="1">
      <c r="A23" s="1"/>
      <c r="B23" s="1" t="s">
        <v>35</v>
      </c>
      <c r="C23" s="1" t="s">
        <v>19</v>
      </c>
      <c r="D23" s="1">
        <v>2000.0</v>
      </c>
      <c r="E23" s="1">
        <f t="shared" si="6"/>
        <v>3400</v>
      </c>
      <c r="F23" s="1"/>
      <c r="G23" s="1"/>
      <c r="H23" s="1"/>
    </row>
    <row r="24" ht="15.75" customHeight="1">
      <c r="A24" s="1"/>
      <c r="B24" s="1" t="s">
        <v>37</v>
      </c>
      <c r="C24" s="1" t="s">
        <v>22</v>
      </c>
      <c r="D24" s="1">
        <v>3000.0</v>
      </c>
      <c r="E24" s="1">
        <f t="shared" si="6"/>
        <v>5100</v>
      </c>
      <c r="F24" s="1"/>
      <c r="G24" s="1"/>
      <c r="H24" s="1"/>
    </row>
    <row r="25" ht="15.75" customHeight="1">
      <c r="A25" s="1"/>
      <c r="B25" s="1" t="s">
        <v>23</v>
      </c>
      <c r="C25" s="1" t="s">
        <v>8</v>
      </c>
      <c r="D25" s="1">
        <v>2000.0</v>
      </c>
      <c r="E25" s="1">
        <f t="shared" si="6"/>
        <v>3400</v>
      </c>
      <c r="F25" s="1"/>
      <c r="G25" s="1"/>
      <c r="H25" s="1"/>
    </row>
    <row r="26" ht="15.75" customHeight="1">
      <c r="A26" s="1"/>
      <c r="B26" s="1" t="s">
        <v>38</v>
      </c>
      <c r="C26" s="1" t="s">
        <v>13</v>
      </c>
      <c r="D26" s="1">
        <v>3000.0</v>
      </c>
      <c r="E26" s="1">
        <v>3400.0</v>
      </c>
      <c r="F26" s="1"/>
      <c r="G26" s="1"/>
      <c r="H26" s="1"/>
    </row>
    <row r="27" ht="15.75" customHeight="1">
      <c r="A27" s="1"/>
      <c r="B27" s="1" t="s">
        <v>39</v>
      </c>
      <c r="C27" s="1" t="s">
        <v>31</v>
      </c>
      <c r="D27" s="1">
        <v>2000.0</v>
      </c>
      <c r="E27" s="1">
        <f t="shared" ref="E27:E29" si="7">D27*70/100+D27</f>
        <v>3400</v>
      </c>
      <c r="F27" s="1"/>
      <c r="G27" s="1"/>
      <c r="H27" s="1"/>
    </row>
    <row r="28" ht="15.75" customHeight="1">
      <c r="A28" s="1"/>
      <c r="B28" s="1" t="s">
        <v>32</v>
      </c>
      <c r="C28" s="1" t="s">
        <v>18</v>
      </c>
      <c r="D28" s="1">
        <v>2000.0</v>
      </c>
      <c r="E28" s="1">
        <f t="shared" si="7"/>
        <v>3400</v>
      </c>
      <c r="F28" s="1"/>
      <c r="G28" s="1"/>
      <c r="H28" s="1"/>
    </row>
    <row r="29" ht="15.75" customHeight="1">
      <c r="A29" s="1"/>
      <c r="B29" s="1" t="s">
        <v>33</v>
      </c>
      <c r="C29" s="1" t="s">
        <v>24</v>
      </c>
      <c r="D29" s="1">
        <v>2000.0</v>
      </c>
      <c r="E29" s="1">
        <f t="shared" si="7"/>
        <v>3400</v>
      </c>
      <c r="F29" s="1"/>
      <c r="G29" s="1"/>
      <c r="H29" s="1"/>
    </row>
    <row r="30" ht="15.75" customHeight="1">
      <c r="A30" s="1"/>
      <c r="B30" s="1"/>
      <c r="C30" s="1"/>
      <c r="D30" s="3">
        <f t="shared" ref="D30:E30" si="8">SUM(D22:D29)</f>
        <v>21500</v>
      </c>
      <c r="E30" s="3">
        <f t="shared" si="8"/>
        <v>34850</v>
      </c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 t="s">
        <v>40</v>
      </c>
      <c r="B32" s="1" t="s">
        <v>21</v>
      </c>
      <c r="C32" s="1" t="s">
        <v>25</v>
      </c>
      <c r="D32" s="3">
        <v>12500.0</v>
      </c>
      <c r="E32" s="3">
        <f>D32*20/100+D32</f>
        <v>15000</v>
      </c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3" t="s">
        <v>41</v>
      </c>
      <c r="D34" s="3">
        <f t="shared" ref="D34:E34" si="9">SUM(D3,D6,D11,D20,D30,D32)</f>
        <v>54000</v>
      </c>
      <c r="E34" s="3">
        <f t="shared" si="9"/>
        <v>83750</v>
      </c>
      <c r="F34" s="1"/>
      <c r="G34" s="1"/>
      <c r="H34" s="1"/>
    </row>
    <row r="35" ht="15.75" customHeight="1">
      <c r="A35" s="1"/>
      <c r="B35" s="1"/>
      <c r="C35" s="1" t="s">
        <v>42</v>
      </c>
      <c r="D35" s="1">
        <v>3000.0</v>
      </c>
      <c r="E35" s="1">
        <v>3000.0</v>
      </c>
      <c r="F35" s="1"/>
      <c r="G35" s="1"/>
      <c r="H35" s="1"/>
    </row>
    <row r="36" ht="15.75" customHeight="1">
      <c r="A36" s="1"/>
      <c r="B36" s="1"/>
      <c r="C36" s="3" t="s">
        <v>43</v>
      </c>
      <c r="D36" s="3">
        <f t="shared" ref="D36:E36" si="10">SUM(D34:D35)</f>
        <v>57000</v>
      </c>
      <c r="E36" s="3">
        <f t="shared" si="10"/>
        <v>86750</v>
      </c>
      <c r="F36" s="1"/>
      <c r="G36" s="1"/>
      <c r="H36" s="1"/>
    </row>
    <row r="37" ht="15.75" customHeight="1">
      <c r="A37" s="1" t="s">
        <v>44</v>
      </c>
      <c r="B37" s="1">
        <f>E36-D36</f>
        <v>29750</v>
      </c>
      <c r="C37" s="1"/>
      <c r="D37" s="1">
        <f>D36+B40</f>
        <v>66300</v>
      </c>
      <c r="E37" s="1"/>
      <c r="F37" s="1"/>
      <c r="G37" s="1"/>
      <c r="H37" s="1"/>
    </row>
    <row r="38" ht="15.75" customHeight="1">
      <c r="A38" s="1" t="s">
        <v>45</v>
      </c>
      <c r="B38" s="1">
        <f>E34*20/100</f>
        <v>16750</v>
      </c>
      <c r="C38" s="1"/>
      <c r="D38" s="1"/>
      <c r="E38" s="1"/>
      <c r="F38" s="1"/>
      <c r="G38" s="1"/>
      <c r="H38" s="1"/>
    </row>
    <row r="39" ht="15.75" customHeight="1">
      <c r="A39" s="1" t="s">
        <v>46</v>
      </c>
      <c r="B39" s="1">
        <f>SUM(B37:B38)</f>
        <v>46500</v>
      </c>
      <c r="C39" s="1"/>
      <c r="D39" s="1"/>
      <c r="E39" s="1"/>
      <c r="F39" s="1"/>
      <c r="G39" s="1"/>
      <c r="H39" s="1"/>
    </row>
    <row r="40" ht="15.75" customHeight="1">
      <c r="A40" s="1" t="s">
        <v>47</v>
      </c>
      <c r="B40" s="1">
        <f>B39*20/100</f>
        <v>9300</v>
      </c>
      <c r="C40" s="1">
        <f>SUM(B40,3000)</f>
        <v>12300</v>
      </c>
      <c r="D40" s="1"/>
      <c r="E40" s="1"/>
      <c r="F40" s="1"/>
      <c r="G40" s="1"/>
      <c r="H40" s="1"/>
    </row>
    <row r="41" ht="15.75" customHeight="1">
      <c r="A41" s="1" t="s">
        <v>48</v>
      </c>
      <c r="B41" s="1">
        <f>B39-B40</f>
        <v>37200</v>
      </c>
      <c r="C41" s="1">
        <f>SUM(B40,'Budget - 27 January 2022'!B14)</f>
        <v>12350</v>
      </c>
      <c r="D41" s="1"/>
      <c r="E41" s="1"/>
      <c r="F41" s="1"/>
      <c r="G41" s="1"/>
      <c r="H41" s="1"/>
    </row>
    <row r="42" ht="15.75" customHeight="1">
      <c r="A42" s="1" t="s">
        <v>49</v>
      </c>
      <c r="B42" s="1">
        <f>SUM(E36,B38)</f>
        <v>103500</v>
      </c>
      <c r="C42" s="1"/>
      <c r="D42" s="1"/>
      <c r="E42" s="1"/>
      <c r="F42" s="1"/>
      <c r="G42" s="1"/>
      <c r="H42" s="1"/>
    </row>
    <row r="43" ht="15.75" customHeight="1">
      <c r="A43" s="1" t="s">
        <v>50</v>
      </c>
      <c r="B43" s="1">
        <f>B42*15/100</f>
        <v>15525</v>
      </c>
      <c r="C43" s="1"/>
      <c r="D43" s="1"/>
      <c r="E43" s="1"/>
      <c r="F43" s="1"/>
      <c r="G43" s="6"/>
      <c r="H43" s="6"/>
    </row>
    <row r="44" ht="15.75" customHeight="1">
      <c r="A44" s="1" t="s">
        <v>51</v>
      </c>
      <c r="B44" s="1">
        <f>SUM(B42:B43)</f>
        <v>119025</v>
      </c>
      <c r="C44" s="1"/>
      <c r="D44" s="1"/>
      <c r="E44" s="1"/>
      <c r="F44" s="1"/>
      <c r="G44" s="6"/>
      <c r="H44" s="6"/>
    </row>
    <row r="45" ht="15.75" customHeight="1">
      <c r="A45" s="7" t="s">
        <v>52</v>
      </c>
      <c r="B45" s="6">
        <f>B44/2</f>
        <v>59512.5</v>
      </c>
      <c r="C45" s="6"/>
      <c r="D45" s="6"/>
      <c r="E45" s="6"/>
      <c r="F45" s="6"/>
      <c r="G45" s="6"/>
      <c r="H45" s="6"/>
    </row>
    <row r="46" ht="15.75" customHeight="1">
      <c r="A46" s="7" t="s">
        <v>53</v>
      </c>
      <c r="B46" s="7">
        <f>B44-B45</f>
        <v>59512.5</v>
      </c>
      <c r="C46" s="6"/>
      <c r="D46" s="6"/>
      <c r="E46" s="6"/>
      <c r="F46" s="6"/>
      <c r="G46" s="6"/>
      <c r="H46" s="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0.25"/>
    <col customWidth="1" min="3" max="3" width="19.75"/>
    <col customWidth="1" min="4" max="4" width="8.75"/>
    <col customWidth="1" min="5" max="5" width="13.75"/>
    <col customWidth="1" min="6" max="6" width="7.63"/>
    <col customWidth="1" min="7" max="7" width="20.63"/>
    <col customWidth="1" min="8" max="8" width="5.25"/>
    <col customWidth="1" min="9" max="26" width="7.63"/>
  </cols>
  <sheetData>
    <row r="1">
      <c r="A1" s="1" t="s">
        <v>0</v>
      </c>
      <c r="B1" s="1"/>
      <c r="C1" s="1"/>
      <c r="D1" s="1"/>
      <c r="E1" s="1"/>
      <c r="F1" s="1"/>
      <c r="G1" s="1" t="s">
        <v>1</v>
      </c>
      <c r="H1" s="1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/>
      <c r="G2" s="1" t="s">
        <v>7</v>
      </c>
      <c r="H2" s="2">
        <v>3000.0</v>
      </c>
    </row>
    <row r="3">
      <c r="A3" s="1"/>
      <c r="B3" s="1"/>
      <c r="C3" s="1"/>
      <c r="D3" s="3"/>
      <c r="E3" s="3"/>
      <c r="F3" s="1"/>
      <c r="G3" s="1" t="s">
        <v>8</v>
      </c>
      <c r="H3" s="2">
        <f>SUM(D9,D10,D14)</f>
        <v>7000</v>
      </c>
    </row>
    <row r="4">
      <c r="A4" s="1"/>
      <c r="B4" s="1"/>
      <c r="C4" s="1"/>
      <c r="D4" s="1"/>
      <c r="E4" s="1"/>
      <c r="F4" s="1"/>
      <c r="G4" s="1" t="s">
        <v>13</v>
      </c>
      <c r="H4" s="2">
        <f>SUM(D15,D26)</f>
        <v>4000</v>
      </c>
    </row>
    <row r="5">
      <c r="A5" s="1" t="s">
        <v>10</v>
      </c>
      <c r="B5" s="1" t="s">
        <v>11</v>
      </c>
      <c r="C5" s="1" t="s">
        <v>12</v>
      </c>
      <c r="D5" s="1" t="s">
        <v>12</v>
      </c>
      <c r="E5" s="1" t="s">
        <v>12</v>
      </c>
      <c r="F5" s="1"/>
      <c r="G5" s="1" t="s">
        <v>18</v>
      </c>
      <c r="H5" s="1">
        <f t="shared" ref="H5:H6" si="1">SUM(D17,D27)</f>
        <v>4000</v>
      </c>
    </row>
    <row r="6">
      <c r="A6" s="1" t="s">
        <v>14</v>
      </c>
      <c r="B6" s="1" t="s">
        <v>15</v>
      </c>
      <c r="C6" s="1" t="s">
        <v>16</v>
      </c>
      <c r="D6" s="3">
        <v>3000.0</v>
      </c>
      <c r="E6" s="3">
        <v>5000.0</v>
      </c>
      <c r="F6" s="1"/>
      <c r="G6" s="1" t="s">
        <v>19</v>
      </c>
      <c r="H6" s="1">
        <f t="shared" si="1"/>
        <v>4000</v>
      </c>
    </row>
    <row r="7">
      <c r="A7" s="1"/>
      <c r="B7" s="1"/>
      <c r="C7" s="1"/>
      <c r="D7" s="1"/>
      <c r="E7" s="1"/>
      <c r="F7" s="1"/>
      <c r="G7" s="2" t="s">
        <v>54</v>
      </c>
      <c r="H7" s="1">
        <f>SUM(D16,D25)</f>
        <v>4000</v>
      </c>
    </row>
    <row r="8">
      <c r="A8" s="1"/>
      <c r="B8" s="1"/>
      <c r="C8" s="1"/>
      <c r="D8" s="1"/>
      <c r="E8" s="1"/>
      <c r="F8" s="1"/>
      <c r="G8" s="1" t="s">
        <v>24</v>
      </c>
      <c r="H8" s="1">
        <f>SUM(D18,D28)</f>
        <v>4000</v>
      </c>
    </row>
    <row r="9">
      <c r="A9" s="1" t="s">
        <v>20</v>
      </c>
      <c r="B9" s="1" t="s">
        <v>21</v>
      </c>
      <c r="C9" s="1" t="s">
        <v>8</v>
      </c>
      <c r="D9" s="1">
        <v>3000.0</v>
      </c>
      <c r="E9" s="1">
        <f t="shared" ref="E9:E10" si="2">D9*70/100+D9</f>
        <v>5100</v>
      </c>
      <c r="F9" s="1"/>
      <c r="G9" s="1" t="s">
        <v>25</v>
      </c>
      <c r="H9" s="1">
        <f>SUM(D20,D23,D31)</f>
        <v>20000</v>
      </c>
    </row>
    <row r="10">
      <c r="A10" s="1"/>
      <c r="B10" s="1" t="s">
        <v>23</v>
      </c>
      <c r="C10" s="1" t="s">
        <v>8</v>
      </c>
      <c r="D10" s="1">
        <v>2000.0</v>
      </c>
      <c r="E10" s="1">
        <f t="shared" si="2"/>
        <v>3400</v>
      </c>
      <c r="F10" s="1"/>
      <c r="G10" s="2" t="s">
        <v>26</v>
      </c>
      <c r="H10" s="2">
        <v>3000.0</v>
      </c>
    </row>
    <row r="11">
      <c r="A11" s="1"/>
      <c r="B11" s="1"/>
      <c r="C11" s="1"/>
      <c r="D11" s="3">
        <f t="shared" ref="D11:E11" si="3">SUM(D9:D10)</f>
        <v>5000</v>
      </c>
      <c r="E11" s="3">
        <f t="shared" si="3"/>
        <v>8500</v>
      </c>
      <c r="F11" s="1"/>
      <c r="G11" s="2" t="s">
        <v>27</v>
      </c>
      <c r="H11" s="1">
        <f>SUM(H2:H10)</f>
        <v>53000</v>
      </c>
    </row>
    <row r="12">
      <c r="A12" s="1"/>
      <c r="B12" s="1"/>
      <c r="C12" s="1"/>
      <c r="D12" s="1"/>
      <c r="E12" s="1"/>
      <c r="F12" s="1"/>
      <c r="G12" s="2" t="s">
        <v>29</v>
      </c>
      <c r="H12" s="7">
        <v>52474.5</v>
      </c>
    </row>
    <row r="13">
      <c r="A13" s="1"/>
      <c r="B13" s="1"/>
      <c r="C13" s="1"/>
      <c r="D13" s="1"/>
      <c r="E13" s="1"/>
      <c r="F13" s="1"/>
      <c r="G13" s="6"/>
      <c r="H13" s="6"/>
    </row>
    <row r="14">
      <c r="A14" s="1" t="s">
        <v>28</v>
      </c>
      <c r="B14" s="1" t="s">
        <v>23</v>
      </c>
      <c r="C14" s="1" t="s">
        <v>8</v>
      </c>
      <c r="D14" s="1">
        <v>2000.0</v>
      </c>
      <c r="E14" s="1">
        <f>D14*70/100+D14</f>
        <v>3400</v>
      </c>
      <c r="F14" s="1"/>
      <c r="G14" s="6"/>
      <c r="H14" s="6"/>
    </row>
    <row r="15">
      <c r="A15" s="1"/>
      <c r="B15" s="7" t="s">
        <v>55</v>
      </c>
      <c r="C15" s="7" t="s">
        <v>13</v>
      </c>
      <c r="D15" s="7">
        <v>2000.0</v>
      </c>
      <c r="E15" s="7">
        <v>3400.0</v>
      </c>
      <c r="F15" s="1"/>
      <c r="G15" s="6"/>
      <c r="H15" s="6"/>
    </row>
    <row r="16">
      <c r="A16" s="1"/>
      <c r="B16" s="2" t="s">
        <v>56</v>
      </c>
      <c r="C16" s="2" t="s">
        <v>54</v>
      </c>
      <c r="D16" s="1">
        <v>2000.0</v>
      </c>
      <c r="E16" s="1">
        <f t="shared" ref="E16:E20" si="4">D16*70/100+D16</f>
        <v>3400</v>
      </c>
      <c r="F16" s="1"/>
      <c r="G16" s="1"/>
      <c r="H16" s="1"/>
    </row>
    <row r="17">
      <c r="A17" s="1"/>
      <c r="B17" s="1" t="s">
        <v>32</v>
      </c>
      <c r="C17" s="1" t="s">
        <v>18</v>
      </c>
      <c r="D17" s="1">
        <v>2000.0</v>
      </c>
      <c r="E17" s="1">
        <f t="shared" si="4"/>
        <v>3400</v>
      </c>
      <c r="F17" s="1"/>
      <c r="G17" s="1"/>
      <c r="H17" s="1"/>
    </row>
    <row r="18">
      <c r="A18" s="1"/>
      <c r="B18" s="1" t="s">
        <v>33</v>
      </c>
      <c r="C18" s="1" t="s">
        <v>24</v>
      </c>
      <c r="D18" s="1">
        <v>2000.0</v>
      </c>
      <c r="E18" s="1">
        <f t="shared" si="4"/>
        <v>3400</v>
      </c>
      <c r="F18" s="1"/>
      <c r="G18" s="1"/>
      <c r="H18" s="1"/>
    </row>
    <row r="19">
      <c r="A19" s="1" t="s">
        <v>34</v>
      </c>
      <c r="B19" s="1" t="s">
        <v>35</v>
      </c>
      <c r="C19" s="1" t="s">
        <v>19</v>
      </c>
      <c r="D19" s="1">
        <v>2000.0</v>
      </c>
      <c r="E19" s="1">
        <f t="shared" si="4"/>
        <v>3400</v>
      </c>
      <c r="F19" s="1"/>
      <c r="G19" s="1"/>
      <c r="H19" s="1"/>
    </row>
    <row r="20">
      <c r="A20" s="1"/>
      <c r="B20" s="1" t="s">
        <v>35</v>
      </c>
      <c r="C20" s="1" t="s">
        <v>25</v>
      </c>
      <c r="D20" s="1">
        <v>2000.0</v>
      </c>
      <c r="E20" s="1">
        <f t="shared" si="4"/>
        <v>3400</v>
      </c>
      <c r="F20" s="1"/>
      <c r="G20" s="1"/>
      <c r="H20" s="1"/>
    </row>
    <row r="21">
      <c r="A21" s="1"/>
      <c r="B21" s="1"/>
      <c r="C21" s="1"/>
      <c r="D21" s="3">
        <f t="shared" ref="D21:E21" si="5">SUM(D14:D20)</f>
        <v>14000</v>
      </c>
      <c r="E21" s="3">
        <f t="shared" si="5"/>
        <v>23800</v>
      </c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 t="s">
        <v>36</v>
      </c>
      <c r="B23" s="1" t="s">
        <v>35</v>
      </c>
      <c r="C23" s="1" t="s">
        <v>25</v>
      </c>
      <c r="D23" s="1">
        <v>5500.0</v>
      </c>
      <c r="E23" s="1">
        <f t="shared" ref="E23:E25" si="6">D23*70/100+D23</f>
        <v>9350</v>
      </c>
      <c r="F23" s="1"/>
      <c r="G23" s="1"/>
      <c r="H23" s="1"/>
    </row>
    <row r="24" ht="15.75" customHeight="1">
      <c r="A24" s="1"/>
      <c r="B24" s="1" t="s">
        <v>35</v>
      </c>
      <c r="C24" s="1" t="s">
        <v>19</v>
      </c>
      <c r="D24" s="1">
        <v>2000.0</v>
      </c>
      <c r="E24" s="1">
        <f t="shared" si="6"/>
        <v>3400</v>
      </c>
      <c r="F24" s="1"/>
      <c r="G24" s="1"/>
      <c r="H24" s="1"/>
    </row>
    <row r="25" ht="15.75" customHeight="1">
      <c r="A25" s="1"/>
      <c r="B25" s="1" t="s">
        <v>37</v>
      </c>
      <c r="C25" s="2" t="s">
        <v>54</v>
      </c>
      <c r="D25" s="2">
        <v>2000.0</v>
      </c>
      <c r="E25" s="1">
        <f t="shared" si="6"/>
        <v>3400</v>
      </c>
      <c r="F25" s="1"/>
      <c r="G25" s="1"/>
      <c r="H25" s="1"/>
    </row>
    <row r="26" ht="15.75" customHeight="1">
      <c r="A26" s="1"/>
      <c r="B26" s="1" t="s">
        <v>38</v>
      </c>
      <c r="C26" s="1" t="s">
        <v>13</v>
      </c>
      <c r="D26" s="2">
        <v>2000.0</v>
      </c>
      <c r="E26" s="1">
        <v>3400.0</v>
      </c>
      <c r="F26" s="1"/>
      <c r="G26" s="1"/>
      <c r="H26" s="1"/>
    </row>
    <row r="27" ht="15.75" customHeight="1">
      <c r="A27" s="1"/>
      <c r="B27" s="1" t="s">
        <v>32</v>
      </c>
      <c r="C27" s="1" t="s">
        <v>18</v>
      </c>
      <c r="D27" s="1">
        <v>2000.0</v>
      </c>
      <c r="E27" s="1">
        <f t="shared" ref="E27:E28" si="7">D27*70/100+D27</f>
        <v>3400</v>
      </c>
      <c r="F27" s="1"/>
      <c r="G27" s="1"/>
      <c r="H27" s="1"/>
    </row>
    <row r="28" ht="15.75" customHeight="1">
      <c r="A28" s="1"/>
      <c r="B28" s="1" t="s">
        <v>33</v>
      </c>
      <c r="C28" s="1" t="s">
        <v>24</v>
      </c>
      <c r="D28" s="1">
        <v>2000.0</v>
      </c>
      <c r="E28" s="1">
        <f t="shared" si="7"/>
        <v>3400</v>
      </c>
      <c r="F28" s="1"/>
      <c r="G28" s="1"/>
      <c r="H28" s="1"/>
    </row>
    <row r="29" ht="15.75" customHeight="1">
      <c r="A29" s="1"/>
      <c r="B29" s="1"/>
      <c r="C29" s="1"/>
      <c r="D29" s="3">
        <f t="shared" ref="D29:E29" si="8">SUM(D23:D28)</f>
        <v>15500</v>
      </c>
      <c r="E29" s="3">
        <f t="shared" si="8"/>
        <v>26350</v>
      </c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 t="s">
        <v>40</v>
      </c>
      <c r="B31" s="1" t="s">
        <v>21</v>
      </c>
      <c r="C31" s="1" t="s">
        <v>25</v>
      </c>
      <c r="D31" s="3">
        <v>12500.0</v>
      </c>
      <c r="E31" s="3">
        <f>D31*20/100+D31</f>
        <v>15000</v>
      </c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3" t="s">
        <v>41</v>
      </c>
      <c r="D33" s="3">
        <f t="shared" ref="D33:E33" si="9">SUM(D3,D6,D11,D21,D29,D31)</f>
        <v>50000</v>
      </c>
      <c r="E33" s="3">
        <f t="shared" si="9"/>
        <v>78650</v>
      </c>
      <c r="F33" s="1"/>
      <c r="G33" s="1"/>
      <c r="H33" s="1"/>
    </row>
    <row r="34" ht="15.75" customHeight="1">
      <c r="A34" s="1"/>
      <c r="B34" s="1"/>
      <c r="C34" s="1" t="s">
        <v>42</v>
      </c>
      <c r="D34" s="1">
        <v>3000.0</v>
      </c>
      <c r="E34" s="1">
        <v>3000.0</v>
      </c>
      <c r="F34" s="1"/>
      <c r="G34" s="1"/>
      <c r="H34" s="1"/>
    </row>
    <row r="35" ht="15.75" customHeight="1">
      <c r="A35" s="1"/>
      <c r="B35" s="1"/>
      <c r="C35" s="3" t="s">
        <v>43</v>
      </c>
      <c r="D35" s="3">
        <f t="shared" ref="D35:E35" si="10">SUM(D33:D34)</f>
        <v>53000</v>
      </c>
      <c r="E35" s="3">
        <f t="shared" si="10"/>
        <v>81650</v>
      </c>
      <c r="F35" s="1"/>
      <c r="G35" s="1"/>
      <c r="H35" s="1"/>
    </row>
    <row r="36" ht="15.75" customHeight="1">
      <c r="A36" s="1" t="s">
        <v>44</v>
      </c>
      <c r="B36" s="1">
        <f>E35-D35</f>
        <v>28650</v>
      </c>
      <c r="C36" s="1"/>
      <c r="D36" s="1">
        <f>D35+B39</f>
        <v>61876</v>
      </c>
      <c r="E36" s="1"/>
      <c r="F36" s="1"/>
      <c r="G36" s="1"/>
      <c r="H36" s="1"/>
    </row>
    <row r="37" ht="15.75" customHeight="1">
      <c r="A37" s="1" t="s">
        <v>45</v>
      </c>
      <c r="B37" s="1">
        <f>E33*20/100</f>
        <v>15730</v>
      </c>
      <c r="C37" s="1"/>
      <c r="D37" s="1"/>
      <c r="E37" s="1"/>
      <c r="F37" s="1"/>
      <c r="G37" s="1"/>
      <c r="H37" s="1"/>
    </row>
    <row r="38" ht="15.75" customHeight="1">
      <c r="A38" s="1" t="s">
        <v>46</v>
      </c>
      <c r="B38" s="1">
        <f>SUM(B36:B37)</f>
        <v>44380</v>
      </c>
      <c r="C38" s="1"/>
      <c r="D38" s="1"/>
      <c r="E38" s="1"/>
      <c r="F38" s="1"/>
      <c r="G38" s="1"/>
      <c r="H38" s="1"/>
    </row>
    <row r="39" ht="15.75" customHeight="1">
      <c r="A39" s="1" t="s">
        <v>47</v>
      </c>
      <c r="B39" s="1">
        <f>B38*20/100</f>
        <v>8876</v>
      </c>
      <c r="C39" s="1"/>
      <c r="D39" s="1"/>
      <c r="E39" s="1"/>
      <c r="F39" s="1"/>
      <c r="G39" s="1"/>
      <c r="H39" s="1"/>
    </row>
    <row r="40" ht="15.75" customHeight="1">
      <c r="A40" s="1" t="s">
        <v>48</v>
      </c>
      <c r="B40" s="1">
        <f>B38-B39</f>
        <v>35504</v>
      </c>
      <c r="C40" s="1"/>
      <c r="D40" s="1"/>
      <c r="E40" s="1"/>
      <c r="F40" s="1"/>
      <c r="G40" s="6"/>
      <c r="H40" s="6"/>
    </row>
    <row r="41" ht="15.75" customHeight="1">
      <c r="A41" s="1" t="s">
        <v>49</v>
      </c>
      <c r="B41" s="1">
        <f>SUM(E35,B37)</f>
        <v>97380</v>
      </c>
      <c r="C41" s="1"/>
      <c r="D41" s="1"/>
      <c r="E41" s="1"/>
      <c r="F41" s="1"/>
      <c r="G41" s="6"/>
      <c r="H41" s="6"/>
    </row>
    <row r="42" ht="15.75" customHeight="1">
      <c r="A42" s="1" t="s">
        <v>50</v>
      </c>
      <c r="B42" s="1">
        <f>B41*15/100</f>
        <v>14607</v>
      </c>
      <c r="C42" s="1"/>
      <c r="D42" s="1"/>
      <c r="E42" s="1"/>
      <c r="F42" s="1"/>
      <c r="G42" s="6"/>
      <c r="H42" s="6"/>
    </row>
    <row r="43" ht="15.75" customHeight="1">
      <c r="A43" s="1" t="s">
        <v>51</v>
      </c>
      <c r="B43" s="1">
        <f>SUM(B41:B42)</f>
        <v>111987</v>
      </c>
      <c r="C43" s="1"/>
      <c r="D43" s="1"/>
      <c r="E43" s="1"/>
      <c r="F43" s="1"/>
      <c r="G43" s="6"/>
      <c r="H43" s="6"/>
    </row>
    <row r="44" ht="15.75" customHeight="1">
      <c r="A44" s="7" t="s">
        <v>52</v>
      </c>
      <c r="B44" s="6">
        <v>59512.5</v>
      </c>
      <c r="C44" s="6"/>
      <c r="D44" s="6"/>
      <c r="E44" s="6"/>
      <c r="F44" s="6"/>
    </row>
    <row r="45" ht="15.75" customHeight="1">
      <c r="A45" s="7" t="s">
        <v>53</v>
      </c>
      <c r="B45" s="7">
        <f>B43-B44</f>
        <v>52474.5</v>
      </c>
      <c r="C45" s="6"/>
      <c r="D45" s="6"/>
      <c r="E45" s="6"/>
      <c r="F45" s="6"/>
    </row>
    <row r="46" ht="15.75" customHeight="1">
      <c r="B46" s="8">
        <f>(B45/115*100)</f>
        <v>45630</v>
      </c>
    </row>
    <row r="47" ht="15.75" customHeight="1">
      <c r="B47" s="8">
        <f>B46*15/100</f>
        <v>6844.5</v>
      </c>
    </row>
    <row r="48" ht="15.75" customHeight="1">
      <c r="B48" s="8">
        <f>SUM(B46:B47)</f>
        <v>52474.5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12.38"/>
    <col customWidth="1" min="3" max="3" width="19.75"/>
    <col customWidth="1" min="4" max="4" width="7.63"/>
    <col customWidth="1" min="5" max="5" width="11.0"/>
    <col customWidth="1" min="6" max="6" width="7.63"/>
    <col customWidth="1" min="7" max="7" width="19.38"/>
    <col customWidth="1" min="8" max="26" width="7.63"/>
  </cols>
  <sheetData>
    <row r="1">
      <c r="A1" s="1" t="s">
        <v>57</v>
      </c>
      <c r="B1" s="1"/>
      <c r="C1" s="1"/>
      <c r="D1" s="1"/>
      <c r="E1" s="1"/>
      <c r="G1" s="4" t="s">
        <v>58</v>
      </c>
    </row>
    <row r="2">
      <c r="A2" s="1" t="s">
        <v>2</v>
      </c>
      <c r="B2" s="1" t="s">
        <v>59</v>
      </c>
      <c r="C2" s="1" t="s">
        <v>60</v>
      </c>
      <c r="D2" s="1" t="s">
        <v>5</v>
      </c>
      <c r="E2" s="1" t="s">
        <v>6</v>
      </c>
      <c r="G2" s="8" t="s">
        <v>61</v>
      </c>
      <c r="H2" s="8">
        <v>3000.0</v>
      </c>
    </row>
    <row r="3">
      <c r="A3" s="1"/>
      <c r="B3" s="1" t="s">
        <v>35</v>
      </c>
      <c r="C3" s="1" t="s">
        <v>61</v>
      </c>
      <c r="D3" s="1">
        <v>3000.0</v>
      </c>
      <c r="E3" s="1">
        <v>5500.0</v>
      </c>
      <c r="G3" s="8" t="s">
        <v>8</v>
      </c>
      <c r="H3" s="8">
        <v>3000.0</v>
      </c>
    </row>
    <row r="4">
      <c r="A4" s="1"/>
      <c r="B4" s="1" t="s">
        <v>62</v>
      </c>
      <c r="C4" s="1" t="s">
        <v>8</v>
      </c>
      <c r="D4" s="1">
        <v>3000.0</v>
      </c>
      <c r="E4" s="1">
        <v>5500.0</v>
      </c>
      <c r="G4" s="8" t="s">
        <v>31</v>
      </c>
      <c r="H4" s="8">
        <v>3000.0</v>
      </c>
    </row>
    <row r="5">
      <c r="A5" s="1"/>
      <c r="B5" s="1" t="s">
        <v>30</v>
      </c>
      <c r="C5" s="2" t="s">
        <v>17</v>
      </c>
      <c r="D5" s="1">
        <v>3000.0</v>
      </c>
      <c r="E5" s="1">
        <v>5500.0</v>
      </c>
      <c r="G5" s="8" t="s">
        <v>18</v>
      </c>
      <c r="H5" s="8">
        <v>3000.0</v>
      </c>
    </row>
    <row r="6">
      <c r="A6" s="1"/>
      <c r="B6" s="1" t="s">
        <v>63</v>
      </c>
      <c r="C6" s="1" t="s">
        <v>18</v>
      </c>
      <c r="D6" s="1">
        <v>3000.0</v>
      </c>
      <c r="E6" s="1">
        <v>5500.0</v>
      </c>
      <c r="G6" s="8" t="s">
        <v>24</v>
      </c>
      <c r="H6" s="8">
        <v>3000.0</v>
      </c>
    </row>
    <row r="7">
      <c r="A7" s="1"/>
      <c r="B7" s="1" t="s">
        <v>64</v>
      </c>
      <c r="C7" s="1" t="s">
        <v>24</v>
      </c>
      <c r="D7" s="1">
        <v>3000.0</v>
      </c>
      <c r="E7" s="1">
        <v>5500.0</v>
      </c>
      <c r="G7" s="4" t="s">
        <v>65</v>
      </c>
      <c r="H7" s="4">
        <v>3000.0</v>
      </c>
    </row>
    <row r="8">
      <c r="A8" s="1"/>
      <c r="B8" s="1"/>
      <c r="C8" s="1" t="s">
        <v>41</v>
      </c>
      <c r="D8" s="1">
        <f t="shared" ref="D8:E8" si="1">SUM(D3:D7)</f>
        <v>15000</v>
      </c>
      <c r="E8" s="1">
        <f t="shared" si="1"/>
        <v>27500</v>
      </c>
      <c r="G8" s="4" t="s">
        <v>66</v>
      </c>
      <c r="H8" s="8">
        <f>SUM(H2,H4:H7)</f>
        <v>15000</v>
      </c>
    </row>
    <row r="9">
      <c r="A9" s="1"/>
      <c r="B9" s="1"/>
      <c r="C9" s="1" t="s">
        <v>67</v>
      </c>
      <c r="D9" s="1">
        <v>3000.0</v>
      </c>
      <c r="E9" s="1">
        <v>3000.0</v>
      </c>
    </row>
    <row r="10">
      <c r="A10" s="1"/>
      <c r="B10" s="1"/>
      <c r="C10" s="1" t="s">
        <v>27</v>
      </c>
      <c r="D10" s="1">
        <f t="shared" ref="D10:E10" si="2">SUM(D8:D9)</f>
        <v>18000</v>
      </c>
      <c r="E10" s="1">
        <f t="shared" si="2"/>
        <v>30500</v>
      </c>
    </row>
    <row r="11">
      <c r="A11" s="1" t="s">
        <v>44</v>
      </c>
      <c r="B11" s="1">
        <f>E10-D10</f>
        <v>12500</v>
      </c>
      <c r="C11" s="1"/>
      <c r="D11" s="1"/>
      <c r="E11" s="1"/>
    </row>
    <row r="12">
      <c r="A12" s="1" t="s">
        <v>68</v>
      </c>
      <c r="B12" s="1">
        <f>E8*20/200</f>
        <v>2750</v>
      </c>
      <c r="C12" s="1"/>
      <c r="D12" s="1"/>
      <c r="E12" s="1"/>
    </row>
    <row r="13">
      <c r="A13" s="1" t="s">
        <v>46</v>
      </c>
      <c r="B13" s="1">
        <f>SUM(B11:B12)</f>
        <v>15250</v>
      </c>
      <c r="C13" s="1"/>
      <c r="D13" s="1"/>
      <c r="E13" s="1"/>
    </row>
    <row r="14">
      <c r="A14" s="1" t="s">
        <v>47</v>
      </c>
      <c r="B14" s="1">
        <f>B13*20/100</f>
        <v>3050</v>
      </c>
      <c r="C14" s="1"/>
      <c r="D14" s="1"/>
      <c r="E14" s="1"/>
    </row>
    <row r="15">
      <c r="A15" s="1" t="s">
        <v>48</v>
      </c>
      <c r="B15" s="1">
        <f>B13-B14</f>
        <v>12200</v>
      </c>
      <c r="C15" s="1"/>
      <c r="D15" s="1"/>
      <c r="E15" s="1"/>
    </row>
    <row r="16">
      <c r="A16" s="1" t="s">
        <v>49</v>
      </c>
      <c r="B16" s="1">
        <f>SUM(E10,B12)</f>
        <v>33250</v>
      </c>
      <c r="C16" s="1"/>
      <c r="D16" s="1"/>
      <c r="E16" s="1"/>
    </row>
    <row r="17">
      <c r="A17" s="1" t="s">
        <v>50</v>
      </c>
      <c r="B17" s="1">
        <f>B16*15/100</f>
        <v>4987.5</v>
      </c>
      <c r="C17" s="1"/>
      <c r="D17" s="1"/>
      <c r="E17" s="1"/>
    </row>
    <row r="18">
      <c r="A18" s="1" t="s">
        <v>51</v>
      </c>
      <c r="B18" s="1">
        <f>SUM(B16:B17)</f>
        <v>38237.5</v>
      </c>
      <c r="C18" s="1"/>
      <c r="D18" s="1"/>
      <c r="E18" s="1"/>
    </row>
    <row r="19">
      <c r="A19" s="7" t="s">
        <v>52</v>
      </c>
      <c r="B19" s="6">
        <f>B18/2</f>
        <v>19118.75</v>
      </c>
      <c r="C19" s="6"/>
      <c r="D19" s="6"/>
      <c r="E19" s="6"/>
    </row>
    <row r="20">
      <c r="A20" s="7" t="s">
        <v>53</v>
      </c>
      <c r="B20" s="6">
        <f>B18-B19</f>
        <v>19118.75</v>
      </c>
      <c r="C20" s="6"/>
      <c r="D20" s="6"/>
      <c r="E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2020-03-10T07:30:58Z</dcterms:created>
  <dc:creator>Daniela Marano</dc:creator>
</cp:coreProperties>
</file>