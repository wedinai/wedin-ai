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a Marano\Documents\TON\Weddings\20 November - Daisy Bell\"/>
    </mc:Choice>
  </mc:AlternateContent>
  <bookViews>
    <workbookView xWindow="0" yWindow="0" windowWidth="20490" windowHeight="7155" activeTab="2"/>
  </bookViews>
  <sheets>
    <sheet name="Budget - 19 November" sheetId="2" r:id="rId1"/>
    <sheet name="Budget - 20 November" sheetId="1" r:id="rId2"/>
    <sheet name="Budget - 21 November " sheetId="3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40" i="1"/>
  <c r="B41" i="1"/>
  <c r="B39" i="1"/>
  <c r="B38" i="1"/>
  <c r="D4" i="3"/>
  <c r="D5" i="3"/>
  <c r="E4" i="3"/>
  <c r="E5" i="3"/>
  <c r="B7" i="3"/>
  <c r="B32" i="1"/>
  <c r="E29" i="1"/>
  <c r="D29" i="1"/>
  <c r="H8" i="1"/>
  <c r="H7" i="1"/>
  <c r="H6" i="1"/>
  <c r="H5" i="1"/>
  <c r="D13" i="1"/>
  <c r="E13" i="1"/>
  <c r="E4" i="2"/>
  <c r="D4" i="2"/>
  <c r="B11" i="3"/>
  <c r="B6" i="3"/>
  <c r="B8" i="3"/>
  <c r="E9" i="2"/>
  <c r="B11" i="2"/>
  <c r="B15" i="2"/>
  <c r="D7" i="2"/>
  <c r="D9" i="2"/>
  <c r="E5" i="2"/>
  <c r="E3" i="2"/>
  <c r="E7" i="2"/>
  <c r="E8" i="1"/>
  <c r="E9" i="1"/>
  <c r="E10" i="1"/>
  <c r="E7" i="1"/>
  <c r="E4" i="1"/>
  <c r="H11" i="1"/>
  <c r="H10" i="1"/>
  <c r="H9" i="1"/>
  <c r="H4" i="1"/>
  <c r="E28" i="1"/>
  <c r="E16" i="1"/>
  <c r="E18" i="1"/>
  <c r="E19" i="1"/>
  <c r="E20" i="1"/>
  <c r="E21" i="1"/>
  <c r="E22" i="1"/>
  <c r="E23" i="1"/>
  <c r="E24" i="1"/>
  <c r="E25" i="1"/>
  <c r="D26" i="1"/>
  <c r="E26" i="1"/>
  <c r="D11" i="1"/>
  <c r="D3" i="1"/>
  <c r="D5" i="1"/>
  <c r="E3" i="1"/>
  <c r="E5" i="1"/>
  <c r="B16" i="2"/>
  <c r="B17" i="2"/>
  <c r="B10" i="2"/>
  <c r="B12" i="2"/>
  <c r="B13" i="2"/>
  <c r="B14" i="2"/>
  <c r="B9" i="3"/>
  <c r="B10" i="3"/>
  <c r="E11" i="1"/>
  <c r="D31" i="1"/>
  <c r="E31" i="1"/>
  <c r="B33" i="1"/>
  <c r="B37" i="1"/>
  <c r="B36" i="1"/>
  <c r="B34" i="1"/>
  <c r="B35" i="1"/>
</calcChain>
</file>

<file path=xl/sharedStrings.xml><?xml version="1.0" encoding="utf-8"?>
<sst xmlns="http://schemas.openxmlformats.org/spreadsheetml/2006/main" count="116" uniqueCount="65">
  <si>
    <t xml:space="preserve">Budget - 20 November 2020 </t>
  </si>
  <si>
    <t>Set</t>
  </si>
  <si>
    <t xml:space="preserve">Rate </t>
  </si>
  <si>
    <t xml:space="preserve">Musician Type </t>
  </si>
  <si>
    <t xml:space="preserve">Musician Name </t>
  </si>
  <si>
    <t>Rate</t>
  </si>
  <si>
    <t xml:space="preserve">Quoted rate </t>
  </si>
  <si>
    <t xml:space="preserve">Choir </t>
  </si>
  <si>
    <t xml:space="preserve">Asili Vocal Ensemble </t>
  </si>
  <si>
    <t xml:space="preserve">Keys </t>
  </si>
  <si>
    <t xml:space="preserve">Kyle Petersen </t>
  </si>
  <si>
    <t xml:space="preserve">Pre-drinks </t>
  </si>
  <si>
    <t xml:space="preserve">Ethan Florus </t>
  </si>
  <si>
    <t xml:space="preserve">Vocals + guitar </t>
  </si>
  <si>
    <t xml:space="preserve">Saxophone </t>
  </si>
  <si>
    <t xml:space="preserve">Bass </t>
  </si>
  <si>
    <t xml:space="preserve">Drums </t>
  </si>
  <si>
    <t xml:space="preserve">Rus Nerwich </t>
  </si>
  <si>
    <t xml:space="preserve">Nicholas Williams </t>
  </si>
  <si>
    <t xml:space="preserve">Kevin Gibson </t>
  </si>
  <si>
    <t xml:space="preserve">Vocalist </t>
  </si>
  <si>
    <t xml:space="preserve">Andrew Ford </t>
  </si>
  <si>
    <t xml:space="preserve">Dinner: Option Two </t>
  </si>
  <si>
    <t xml:space="preserve">DJ </t>
  </si>
  <si>
    <t>Dance</t>
  </si>
  <si>
    <t>Saxophone</t>
  </si>
  <si>
    <t xml:space="preserve">Trumpet </t>
  </si>
  <si>
    <t xml:space="preserve">Guitar </t>
  </si>
  <si>
    <t xml:space="preserve">Lee Thomson </t>
  </si>
  <si>
    <t xml:space="preserve">Angelo Syster </t>
  </si>
  <si>
    <t xml:space="preserve">Party </t>
  </si>
  <si>
    <t xml:space="preserve">Nathan Ambach </t>
  </si>
  <si>
    <t xml:space="preserve">Colin Sher </t>
  </si>
  <si>
    <t xml:space="preserve">Francesca Biancoli </t>
  </si>
  <si>
    <t xml:space="preserve">Individual Musician Rates </t>
  </si>
  <si>
    <t xml:space="preserve">Keys accompaniment </t>
  </si>
  <si>
    <t xml:space="preserve">Built in commission </t>
  </si>
  <si>
    <t xml:space="preserve">Dani commission </t>
  </si>
  <si>
    <t xml:space="preserve">TON commission </t>
  </si>
  <si>
    <t xml:space="preserve">Total commission </t>
  </si>
  <si>
    <t xml:space="preserve">Booking fee - 20% </t>
  </si>
  <si>
    <t xml:space="preserve">Total excluding VAT </t>
  </si>
  <si>
    <t xml:space="preserve">VAT </t>
  </si>
  <si>
    <t xml:space="preserve">Total including VAT </t>
  </si>
  <si>
    <t xml:space="preserve">Total musician total </t>
  </si>
  <si>
    <t xml:space="preserve">Coordination </t>
  </si>
  <si>
    <t xml:space="preserve">Total expense </t>
  </si>
  <si>
    <t>Guest arrivals and ceremony</t>
  </si>
  <si>
    <t xml:space="preserve">DJ Option </t>
  </si>
  <si>
    <t xml:space="preserve">Budget - 19 November 2020 </t>
  </si>
  <si>
    <t xml:space="preserve">Set </t>
  </si>
  <si>
    <t>Musician Name</t>
  </si>
  <si>
    <t xml:space="preserve">Quoted Rate </t>
  </si>
  <si>
    <t xml:space="preserve">Marimba band </t>
  </si>
  <si>
    <t xml:space="preserve">Il Afro Suns </t>
  </si>
  <si>
    <t xml:space="preserve">Guest arrivals </t>
  </si>
  <si>
    <t xml:space="preserve">Main event </t>
  </si>
  <si>
    <t xml:space="preserve">Total musician expense </t>
  </si>
  <si>
    <t>Booking fee - 20%</t>
  </si>
  <si>
    <t xml:space="preserve">Budget - 21 November 2020 </t>
  </si>
  <si>
    <t xml:space="preserve">Dani Commission </t>
  </si>
  <si>
    <t>Drummer</t>
  </si>
  <si>
    <t xml:space="preserve">Transition </t>
  </si>
  <si>
    <t xml:space="preserve">African Percussion </t>
  </si>
  <si>
    <t xml:space="preserve">Discount - 10%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</si>
</sst>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F4" sqref="F4"/>
    </sheetView>
  </sheetViews>
  <sheetFormatPr defaultRowHeight="15" x14ac:dyDescent="0.25"/>
  <cols>
    <col min="1" max="1" width="26.140625" bestFit="1" customWidth="1"/>
    <col min="2" max="2" width="14.28515625" bestFit="1" customWidth="1"/>
    <col min="3" max="3" width="22.5703125" bestFit="1" customWidth="1"/>
    <col min="5" max="5" width="12.5703125" bestFit="1" customWidth="1"/>
  </cols>
  <sheetData>
    <row r="1" spans="1:5" x14ac:dyDescent="0.25">
      <c r="A1" t="s">
        <v>49</v>
      </c>
    </row>
    <row r="2" spans="1:5" x14ac:dyDescent="0.25">
      <c r="A2" t="s">
        <v>50</v>
      </c>
      <c r="B2" t="s">
        <v>3</v>
      </c>
      <c r="C2" t="s">
        <v>51</v>
      </c>
      <c r="D2" t="s">
        <v>5</v>
      </c>
      <c r="E2" t="s">
        <v>52</v>
      </c>
    </row>
    <row r="3" spans="1:5" x14ac:dyDescent="0.25">
      <c r="A3" t="s">
        <v>55</v>
      </c>
      <c r="B3" t="s">
        <v>53</v>
      </c>
      <c r="C3" t="s">
        <v>54</v>
      </c>
      <c r="D3">
        <v>6000</v>
      </c>
      <c r="E3">
        <f>D3*50/100+D3</f>
        <v>9000</v>
      </c>
    </row>
    <row r="4" spans="1:5" x14ac:dyDescent="0.25">
      <c r="B4" t="s">
        <v>61</v>
      </c>
      <c r="C4" t="s">
        <v>54</v>
      </c>
      <c r="D4">
        <f>3*1000</f>
        <v>3000</v>
      </c>
      <c r="E4">
        <f>D4*50/100+D4</f>
        <v>4500</v>
      </c>
    </row>
    <row r="5" spans="1:5" x14ac:dyDescent="0.25">
      <c r="A5" t="s">
        <v>56</v>
      </c>
      <c r="B5" t="s">
        <v>23</v>
      </c>
      <c r="C5" t="s">
        <v>17</v>
      </c>
      <c r="D5">
        <v>8000</v>
      </c>
      <c r="E5">
        <f t="shared" ref="E5" si="0">D5*50/100+D5</f>
        <v>12000</v>
      </c>
    </row>
    <row r="7" spans="1:5" x14ac:dyDescent="0.25">
      <c r="C7" t="s">
        <v>57</v>
      </c>
      <c r="D7">
        <f>SUM(D3:D5)</f>
        <v>17000</v>
      </c>
      <c r="E7">
        <f>SUM(E3:E5)</f>
        <v>25500</v>
      </c>
    </row>
    <row r="8" spans="1:5" x14ac:dyDescent="0.25">
      <c r="C8" t="s">
        <v>45</v>
      </c>
      <c r="D8">
        <v>3000</v>
      </c>
      <c r="E8">
        <v>3000</v>
      </c>
    </row>
    <row r="9" spans="1:5" x14ac:dyDescent="0.25">
      <c r="C9" t="s">
        <v>46</v>
      </c>
      <c r="D9">
        <f>SUM(D7:D8)</f>
        <v>20000</v>
      </c>
      <c r="E9">
        <f>SUM(E7:E8)</f>
        <v>28500</v>
      </c>
    </row>
    <row r="10" spans="1:5" x14ac:dyDescent="0.25">
      <c r="A10" t="s">
        <v>36</v>
      </c>
      <c r="B10">
        <f>E9-D9</f>
        <v>8500</v>
      </c>
    </row>
    <row r="11" spans="1:5" x14ac:dyDescent="0.25">
      <c r="A11" t="s">
        <v>58</v>
      </c>
      <c r="B11">
        <f>E9*20/100</f>
        <v>5700</v>
      </c>
    </row>
    <row r="12" spans="1:5" x14ac:dyDescent="0.25">
      <c r="A12" t="s">
        <v>39</v>
      </c>
      <c r="B12">
        <f>SUM(B10:B11)</f>
        <v>14200</v>
      </c>
    </row>
    <row r="13" spans="1:5" x14ac:dyDescent="0.25">
      <c r="A13" t="s">
        <v>37</v>
      </c>
      <c r="B13">
        <f>B12*20/100</f>
        <v>2840</v>
      </c>
    </row>
    <row r="14" spans="1:5" x14ac:dyDescent="0.25">
      <c r="A14" t="s">
        <v>38</v>
      </c>
      <c r="B14">
        <f>B12-B13</f>
        <v>11360</v>
      </c>
    </row>
    <row r="15" spans="1:5" x14ac:dyDescent="0.25">
      <c r="A15" t="s">
        <v>41</v>
      </c>
      <c r="B15">
        <f>SUM(E9,B11)</f>
        <v>34200</v>
      </c>
    </row>
    <row r="16" spans="1:5" x14ac:dyDescent="0.25">
      <c r="A16" t="s">
        <v>42</v>
      </c>
      <c r="B16">
        <f>B15*15/100</f>
        <v>5130</v>
      </c>
    </row>
    <row r="17" spans="1:2" x14ac:dyDescent="0.25">
      <c r="A17" t="s">
        <v>43</v>
      </c>
      <c r="B17">
        <f>SUM(B15:B16)</f>
        <v>39330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26" workbookViewId="0">
      <selection activeCell="B40" sqref="B40"/>
    </sheetView>
  </sheetViews>
  <sheetFormatPr defaultRowHeight="15" x14ac:dyDescent="0.25"/>
  <cols>
    <col min="1" max="1" width="26.140625" bestFit="1" customWidth="1"/>
    <col min="2" max="2" width="18" bestFit="1" customWidth="1"/>
    <col min="3" max="3" width="20" bestFit="1" customWidth="1"/>
    <col min="5" max="5" width="12.140625" bestFit="1" customWidth="1"/>
    <col min="7" max="7" width="24.285156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 t="s">
        <v>34</v>
      </c>
      <c r="H1" s="1"/>
    </row>
    <row r="2" spans="1:8" x14ac:dyDescent="0.25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/>
      <c r="G2" s="1" t="s">
        <v>8</v>
      </c>
      <c r="H2" s="1">
        <v>18000</v>
      </c>
    </row>
    <row r="3" spans="1:8" x14ac:dyDescent="0.25">
      <c r="A3" s="1" t="s">
        <v>47</v>
      </c>
      <c r="B3" s="1" t="s">
        <v>7</v>
      </c>
      <c r="C3" s="1" t="s">
        <v>8</v>
      </c>
      <c r="D3" s="1">
        <f>2000*9</f>
        <v>18000</v>
      </c>
      <c r="E3" s="1">
        <f>D3*20/100+D3</f>
        <v>21600</v>
      </c>
      <c r="F3" s="1"/>
      <c r="G3" s="1" t="s">
        <v>35</v>
      </c>
      <c r="H3" s="1">
        <v>3000</v>
      </c>
    </row>
    <row r="4" spans="1:8" x14ac:dyDescent="0.25">
      <c r="A4" s="1"/>
      <c r="B4" s="1" t="s">
        <v>9</v>
      </c>
      <c r="C4" s="1" t="s">
        <v>10</v>
      </c>
      <c r="D4" s="1">
        <v>3000</v>
      </c>
      <c r="E4" s="1">
        <f>D4*20/100+D4</f>
        <v>3600</v>
      </c>
      <c r="F4" s="1"/>
      <c r="G4" s="1" t="s">
        <v>12</v>
      </c>
      <c r="H4" s="1">
        <f>D7</f>
        <v>3000</v>
      </c>
    </row>
    <row r="5" spans="1:8" x14ac:dyDescent="0.25">
      <c r="A5" s="1"/>
      <c r="B5" s="1"/>
      <c r="C5" s="1"/>
      <c r="D5" s="1">
        <f>SUM(D3:D4)</f>
        <v>21000</v>
      </c>
      <c r="E5" s="1">
        <f>SUM(E3:E4)</f>
        <v>25200</v>
      </c>
      <c r="F5" s="1"/>
      <c r="G5" s="1" t="s">
        <v>17</v>
      </c>
      <c r="H5" s="1">
        <f>SUM(D8,D16,D20)</f>
        <v>8000</v>
      </c>
    </row>
    <row r="6" spans="1:8" x14ac:dyDescent="0.25">
      <c r="A6" s="1"/>
      <c r="B6" s="1"/>
      <c r="C6" s="1"/>
      <c r="D6" s="1"/>
      <c r="E6" s="1"/>
      <c r="F6" s="1"/>
      <c r="G6" s="1" t="s">
        <v>18</v>
      </c>
      <c r="H6" s="1">
        <f>SUM(D9,D24)</f>
        <v>5000</v>
      </c>
    </row>
    <row r="7" spans="1:8" x14ac:dyDescent="0.25">
      <c r="A7" s="1" t="s">
        <v>11</v>
      </c>
      <c r="B7" s="1" t="s">
        <v>13</v>
      </c>
      <c r="C7" s="1" t="s">
        <v>12</v>
      </c>
      <c r="D7" s="1">
        <v>3000</v>
      </c>
      <c r="E7" s="1">
        <f>D7*50/100+D7</f>
        <v>4500</v>
      </c>
      <c r="F7" s="1"/>
      <c r="G7" s="1" t="s">
        <v>19</v>
      </c>
      <c r="H7" s="1">
        <f>SUM(D9,D25)</f>
        <v>5000</v>
      </c>
    </row>
    <row r="8" spans="1:8" x14ac:dyDescent="0.25">
      <c r="A8" s="1"/>
      <c r="B8" s="1" t="s">
        <v>14</v>
      </c>
      <c r="C8" s="1" t="s">
        <v>17</v>
      </c>
      <c r="D8" s="1">
        <v>2000</v>
      </c>
      <c r="E8" s="1">
        <f t="shared" ref="E8:E10" si="0">D8*50/100+D8</f>
        <v>3000</v>
      </c>
      <c r="F8" s="1"/>
      <c r="G8" s="1" t="s">
        <v>21</v>
      </c>
      <c r="H8" s="1">
        <f>SUM(D23)</f>
        <v>3000</v>
      </c>
    </row>
    <row r="9" spans="1:8" x14ac:dyDescent="0.25">
      <c r="A9" s="1"/>
      <c r="B9" s="1" t="s">
        <v>15</v>
      </c>
      <c r="C9" s="1" t="s">
        <v>18</v>
      </c>
      <c r="D9" s="1">
        <v>2000</v>
      </c>
      <c r="E9" s="1">
        <f t="shared" si="0"/>
        <v>3000</v>
      </c>
      <c r="F9" s="1"/>
      <c r="G9" s="1" t="s">
        <v>29</v>
      </c>
      <c r="H9" s="1">
        <f>SUM(D22)</f>
        <v>3000</v>
      </c>
    </row>
    <row r="10" spans="1:8" x14ac:dyDescent="0.25">
      <c r="A10" s="1"/>
      <c r="B10" s="1" t="s">
        <v>16</v>
      </c>
      <c r="C10" s="1" t="s">
        <v>19</v>
      </c>
      <c r="D10" s="1">
        <v>2000</v>
      </c>
      <c r="E10" s="1">
        <f t="shared" si="0"/>
        <v>3000</v>
      </c>
      <c r="F10" s="1"/>
      <c r="G10" s="1" t="s">
        <v>33</v>
      </c>
      <c r="H10" s="1">
        <f>SUM(D19)</f>
        <v>3000</v>
      </c>
    </row>
    <row r="11" spans="1:8" x14ac:dyDescent="0.25">
      <c r="A11" s="1"/>
      <c r="B11" s="1"/>
      <c r="C11" s="1"/>
      <c r="D11" s="1">
        <f>SUM(D7:D10)</f>
        <v>9000</v>
      </c>
      <c r="E11" s="1">
        <f>SUM(E7:E10)</f>
        <v>13500</v>
      </c>
      <c r="F11" s="1"/>
      <c r="G11" s="1" t="s">
        <v>31</v>
      </c>
      <c r="H11" s="1">
        <f>SUM(D18,D28)</f>
        <v>17500</v>
      </c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 t="s">
        <v>62</v>
      </c>
      <c r="B13" s="1" t="s">
        <v>63</v>
      </c>
      <c r="C13" s="1" t="s">
        <v>54</v>
      </c>
      <c r="D13" s="1">
        <f>1250*4</f>
        <v>5000</v>
      </c>
      <c r="E13" s="1">
        <f>D13*50/100+D13</f>
        <v>7500</v>
      </c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 t="s">
        <v>22</v>
      </c>
      <c r="B16" s="1" t="s">
        <v>23</v>
      </c>
      <c r="C16" s="1" t="s">
        <v>17</v>
      </c>
      <c r="D16" s="1">
        <v>3000</v>
      </c>
      <c r="E16" s="1">
        <f t="shared" ref="E16:E26" si="1">D16*50/100+D16</f>
        <v>4500</v>
      </c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 t="s">
        <v>24</v>
      </c>
      <c r="B18" s="1" t="s">
        <v>20</v>
      </c>
      <c r="C18" s="1" t="s">
        <v>31</v>
      </c>
      <c r="D18" s="1">
        <v>5000</v>
      </c>
      <c r="E18" s="1">
        <f t="shared" si="1"/>
        <v>7500</v>
      </c>
      <c r="F18" s="1"/>
      <c r="G18" s="1"/>
      <c r="H18" s="1"/>
    </row>
    <row r="19" spans="1:8" x14ac:dyDescent="0.25">
      <c r="A19" s="1"/>
      <c r="B19" s="1" t="s">
        <v>20</v>
      </c>
      <c r="C19" s="1" t="s">
        <v>33</v>
      </c>
      <c r="D19" s="1">
        <v>3000</v>
      </c>
      <c r="E19" s="1">
        <f t="shared" si="1"/>
        <v>4500</v>
      </c>
      <c r="F19" s="1"/>
      <c r="G19" s="1"/>
      <c r="H19" s="1"/>
    </row>
    <row r="20" spans="1:8" x14ac:dyDescent="0.25">
      <c r="A20" s="1"/>
      <c r="B20" s="1" t="s">
        <v>25</v>
      </c>
      <c r="C20" s="1" t="s">
        <v>17</v>
      </c>
      <c r="D20" s="1">
        <v>3000</v>
      </c>
      <c r="E20" s="1">
        <f t="shared" si="1"/>
        <v>4500</v>
      </c>
      <c r="F20" s="1"/>
      <c r="G20" s="1"/>
      <c r="H20" s="1"/>
    </row>
    <row r="21" spans="1:8" x14ac:dyDescent="0.25">
      <c r="A21" s="1"/>
      <c r="B21" s="1" t="s">
        <v>26</v>
      </c>
      <c r="C21" s="1" t="s">
        <v>28</v>
      </c>
      <c r="D21" s="1">
        <v>3000</v>
      </c>
      <c r="E21" s="1">
        <f t="shared" si="1"/>
        <v>4500</v>
      </c>
      <c r="F21" s="1"/>
      <c r="G21" s="1"/>
      <c r="H21" s="1"/>
    </row>
    <row r="22" spans="1:8" x14ac:dyDescent="0.25">
      <c r="A22" s="1"/>
      <c r="B22" s="1" t="s">
        <v>27</v>
      </c>
      <c r="C22" s="1" t="s">
        <v>29</v>
      </c>
      <c r="D22" s="1">
        <v>3000</v>
      </c>
      <c r="E22" s="1">
        <f t="shared" si="1"/>
        <v>4500</v>
      </c>
      <c r="F22" s="1"/>
      <c r="G22" s="1"/>
      <c r="H22" s="1"/>
    </row>
    <row r="23" spans="1:8" x14ac:dyDescent="0.25">
      <c r="A23" s="1"/>
      <c r="B23" s="1" t="s">
        <v>9</v>
      </c>
      <c r="C23" s="1" t="s">
        <v>21</v>
      </c>
      <c r="D23" s="1">
        <v>3000</v>
      </c>
      <c r="E23" s="1">
        <f t="shared" si="1"/>
        <v>4500</v>
      </c>
      <c r="F23" s="1"/>
      <c r="G23" s="1"/>
      <c r="H23" s="1"/>
    </row>
    <row r="24" spans="1:8" x14ac:dyDescent="0.25">
      <c r="A24" s="1"/>
      <c r="B24" s="1" t="s">
        <v>15</v>
      </c>
      <c r="C24" s="1" t="s">
        <v>18</v>
      </c>
      <c r="D24" s="1">
        <v>3000</v>
      </c>
      <c r="E24" s="1">
        <f t="shared" si="1"/>
        <v>4500</v>
      </c>
      <c r="F24" s="1"/>
      <c r="G24" s="1"/>
      <c r="H24" s="1"/>
    </row>
    <row r="25" spans="1:8" x14ac:dyDescent="0.25">
      <c r="A25" s="1"/>
      <c r="B25" s="1" t="s">
        <v>16</v>
      </c>
      <c r="C25" s="1" t="s">
        <v>19</v>
      </c>
      <c r="D25" s="1">
        <v>3000</v>
      </c>
      <c r="E25" s="1">
        <f t="shared" si="1"/>
        <v>4500</v>
      </c>
      <c r="F25" s="1"/>
      <c r="G25" s="1"/>
      <c r="H25" s="1"/>
    </row>
    <row r="26" spans="1:8" x14ac:dyDescent="0.25">
      <c r="A26" s="1"/>
      <c r="B26" s="1"/>
      <c r="C26" s="1"/>
      <c r="D26" s="1">
        <f>SUM(D18:D25)</f>
        <v>26000</v>
      </c>
      <c r="E26" s="1">
        <f t="shared" si="1"/>
        <v>39000</v>
      </c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 t="s">
        <v>30</v>
      </c>
      <c r="B28" s="1" t="s">
        <v>48</v>
      </c>
      <c r="C28" s="1" t="s">
        <v>31</v>
      </c>
      <c r="D28" s="1">
        <v>12500</v>
      </c>
      <c r="E28" s="1">
        <f>D28*20/100+D28</f>
        <v>15000</v>
      </c>
      <c r="F28" s="1"/>
      <c r="G28" s="1"/>
      <c r="H28" s="1"/>
    </row>
    <row r="29" spans="1:8" x14ac:dyDescent="0.25">
      <c r="A29" s="1"/>
      <c r="B29" s="1"/>
      <c r="C29" s="1" t="s">
        <v>44</v>
      </c>
      <c r="D29" s="1">
        <f>SUM(D5,D11,D13,D16,D26,D28)</f>
        <v>76500</v>
      </c>
      <c r="E29" s="1">
        <f>SUM(E5,E11,E13,E16,E26,E28)</f>
        <v>104700</v>
      </c>
      <c r="F29" s="1"/>
      <c r="G29" s="1"/>
      <c r="H29" s="1"/>
    </row>
    <row r="30" spans="1:8" x14ac:dyDescent="0.25">
      <c r="A30" s="1"/>
      <c r="B30" s="1"/>
      <c r="C30" s="1" t="s">
        <v>45</v>
      </c>
      <c r="D30" s="1">
        <v>3000</v>
      </c>
      <c r="E30" s="1">
        <v>3000</v>
      </c>
      <c r="F30" s="1"/>
      <c r="G30" s="1"/>
      <c r="H30" s="1"/>
    </row>
    <row r="31" spans="1:8" x14ac:dyDescent="0.25">
      <c r="A31" s="1"/>
      <c r="B31" s="1"/>
      <c r="C31" s="1" t="s">
        <v>46</v>
      </c>
      <c r="D31" s="1">
        <f>SUM(D29:D30)</f>
        <v>79500</v>
      </c>
      <c r="E31" s="1">
        <f>SUM(E29:E30)</f>
        <v>107700</v>
      </c>
      <c r="F31" s="1"/>
      <c r="G31" s="1"/>
      <c r="H31" s="1"/>
    </row>
    <row r="32" spans="1:8" x14ac:dyDescent="0.25">
      <c r="A32" s="1" t="s">
        <v>36</v>
      </c>
      <c r="B32" s="1">
        <f>E31-D31</f>
        <v>28200</v>
      </c>
      <c r="C32" s="1"/>
      <c r="D32" s="1"/>
      <c r="E32" s="1"/>
      <c r="F32" s="1"/>
      <c r="G32" s="1"/>
      <c r="H32" s="1"/>
    </row>
    <row r="33" spans="1:8" x14ac:dyDescent="0.25">
      <c r="A33" s="1" t="s">
        <v>40</v>
      </c>
      <c r="B33" s="1">
        <f>E29*20/100</f>
        <v>20940</v>
      </c>
      <c r="C33" s="1"/>
      <c r="D33" s="1"/>
      <c r="E33" s="1"/>
      <c r="F33" s="1"/>
      <c r="G33" s="1"/>
      <c r="H33" s="1"/>
    </row>
    <row r="34" spans="1:8" x14ac:dyDescent="0.25">
      <c r="A34" s="1" t="s">
        <v>37</v>
      </c>
      <c r="B34" s="1">
        <f>B36*20/100</f>
        <v>9828</v>
      </c>
      <c r="C34" s="1"/>
      <c r="D34" s="1"/>
      <c r="E34" s="1"/>
      <c r="F34" s="1"/>
      <c r="G34" s="1"/>
      <c r="H34" s="1"/>
    </row>
    <row r="35" spans="1:8" x14ac:dyDescent="0.25">
      <c r="A35" s="1" t="s">
        <v>38</v>
      </c>
      <c r="B35" s="1">
        <f>B36-B34</f>
        <v>39312</v>
      </c>
      <c r="C35" s="1"/>
      <c r="D35" s="1"/>
      <c r="E35" s="1"/>
      <c r="F35" s="1"/>
      <c r="G35" s="1"/>
      <c r="H35" s="1"/>
    </row>
    <row r="36" spans="1:8" x14ac:dyDescent="0.25">
      <c r="A36" s="1" t="s">
        <v>39</v>
      </c>
      <c r="B36" s="1">
        <f>SUM(B32:B33)</f>
        <v>49140</v>
      </c>
      <c r="C36" s="1"/>
      <c r="D36" s="1"/>
      <c r="E36" s="1"/>
      <c r="F36" s="1"/>
      <c r="G36" s="1"/>
      <c r="H36" s="1"/>
    </row>
    <row r="37" spans="1:8" x14ac:dyDescent="0.25">
      <c r="A37" s="1" t="s">
        <v>41</v>
      </c>
      <c r="B37" s="1">
        <f>SUM(E31,B33)</f>
        <v>128640</v>
      </c>
      <c r="C37" s="1"/>
      <c r="D37" s="1"/>
      <c r="E37" s="1"/>
      <c r="F37" s="1"/>
      <c r="G37" s="1"/>
      <c r="H37" s="1"/>
    </row>
    <row r="38" spans="1:8" x14ac:dyDescent="0.25">
      <c r="A38" s="1" t="s">
        <v>64</v>
      </c>
      <c r="B38" s="1">
        <f>B37*10/100</f>
        <v>12864</v>
      </c>
      <c r="C38" s="1"/>
      <c r="D38" s="1"/>
      <c r="E38" s="1"/>
      <c r="F38" s="1"/>
      <c r="G38" s="1"/>
      <c r="H38" s="1"/>
    </row>
    <row r="39" spans="1:8" x14ac:dyDescent="0.25">
      <c r="A39" s="1" t="s">
        <v>41</v>
      </c>
      <c r="B39" s="1">
        <f>B37-B38</f>
        <v>115776</v>
      </c>
      <c r="C39" s="1"/>
      <c r="D39" s="1"/>
      <c r="E39" s="1"/>
      <c r="F39" s="1"/>
      <c r="G39" s="1"/>
      <c r="H39" s="1"/>
    </row>
    <row r="40" spans="1:8" x14ac:dyDescent="0.25">
      <c r="A40" s="1" t="s">
        <v>42</v>
      </c>
      <c r="B40" s="1">
        <f>B39*15/100</f>
        <v>17366.400000000001</v>
      </c>
      <c r="C40" s="1"/>
      <c r="D40" s="1"/>
      <c r="E40" s="1"/>
      <c r="F40" s="1"/>
      <c r="G40" s="1"/>
      <c r="H40" s="1"/>
    </row>
    <row r="41" spans="1:8" x14ac:dyDescent="0.25">
      <c r="A41" s="1" t="s">
        <v>43</v>
      </c>
      <c r="B41" s="1">
        <f>SUM(B39:B40)</f>
        <v>133142.39999999999</v>
      </c>
      <c r="C41" s="1"/>
      <c r="D41" s="1"/>
      <c r="E41" s="1"/>
      <c r="F41" s="1"/>
      <c r="G41" s="1"/>
      <c r="H41" s="1"/>
    </row>
    <row r="42" spans="1:8" x14ac:dyDescent="0.25">
      <c r="A42" s="1"/>
      <c r="B42" s="2"/>
      <c r="C42" s="1"/>
      <c r="D42" s="1"/>
      <c r="E42" s="1"/>
      <c r="F42" s="1"/>
      <c r="G42" s="1"/>
      <c r="H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A16" sqref="A16"/>
    </sheetView>
  </sheetViews>
  <sheetFormatPr defaultRowHeight="15" x14ac:dyDescent="0.25"/>
  <cols>
    <col min="1" max="1" width="26.140625" bestFit="1" customWidth="1"/>
    <col min="2" max="2" width="14.140625" bestFit="1" customWidth="1"/>
    <col min="3" max="3" width="22.5703125" bestFit="1" customWidth="1"/>
    <col min="5" max="5" width="12.140625" bestFit="1" customWidth="1"/>
  </cols>
  <sheetData>
    <row r="1" spans="1:5" x14ac:dyDescent="0.25">
      <c r="A1" s="1" t="s">
        <v>59</v>
      </c>
      <c r="B1" s="1"/>
      <c r="C1" s="1"/>
      <c r="D1" s="1"/>
      <c r="E1" s="1"/>
    </row>
    <row r="2" spans="1:5" x14ac:dyDescent="0.25">
      <c r="A2" s="1" t="s">
        <v>50</v>
      </c>
      <c r="B2" s="1" t="s">
        <v>3</v>
      </c>
      <c r="C2" s="1" t="s">
        <v>4</v>
      </c>
      <c r="D2" s="1" t="s">
        <v>2</v>
      </c>
      <c r="E2" s="1" t="s">
        <v>6</v>
      </c>
    </row>
    <row r="3" spans="1:5" x14ac:dyDescent="0.25">
      <c r="A3" s="1"/>
      <c r="B3" s="1" t="s">
        <v>23</v>
      </c>
      <c r="C3" s="1" t="s">
        <v>17</v>
      </c>
      <c r="D3" s="1">
        <v>10000</v>
      </c>
      <c r="E3" s="1">
        <v>15000</v>
      </c>
    </row>
    <row r="4" spans="1:5" x14ac:dyDescent="0.25">
      <c r="A4" s="1"/>
      <c r="B4" s="1" t="s">
        <v>23</v>
      </c>
      <c r="C4" s="1" t="s">
        <v>32</v>
      </c>
      <c r="D4" s="1">
        <f>2500*4</f>
        <v>10000</v>
      </c>
      <c r="E4" s="1">
        <f>D4*50/100+D4</f>
        <v>15000</v>
      </c>
    </row>
    <row r="5" spans="1:5" x14ac:dyDescent="0.25">
      <c r="A5" s="1"/>
      <c r="B5" s="1"/>
      <c r="C5" s="1" t="s">
        <v>57</v>
      </c>
      <c r="D5" s="1">
        <f>SUM(D3:D4)</f>
        <v>20000</v>
      </c>
      <c r="E5" s="1">
        <f>SUM(E3:E4)</f>
        <v>30000</v>
      </c>
    </row>
    <row r="6" spans="1:5" x14ac:dyDescent="0.25">
      <c r="A6" s="1" t="s">
        <v>36</v>
      </c>
      <c r="B6" s="1">
        <f>E5-D5</f>
        <v>10000</v>
      </c>
      <c r="C6" s="1"/>
      <c r="D6" s="1"/>
      <c r="E6" s="1"/>
    </row>
    <row r="7" spans="1:5" x14ac:dyDescent="0.25">
      <c r="A7" s="1" t="s">
        <v>58</v>
      </c>
      <c r="B7" s="1">
        <f>E5*20/100</f>
        <v>6000</v>
      </c>
      <c r="C7" s="1"/>
      <c r="D7" s="1"/>
      <c r="E7" s="1"/>
    </row>
    <row r="8" spans="1:5" x14ac:dyDescent="0.25">
      <c r="A8" s="1" t="s">
        <v>39</v>
      </c>
      <c r="B8" s="1">
        <f>SUM(B6:B7)</f>
        <v>16000</v>
      </c>
      <c r="C8" s="1"/>
      <c r="D8" s="1"/>
      <c r="E8" s="1"/>
    </row>
    <row r="9" spans="1:5" x14ac:dyDescent="0.25">
      <c r="A9" s="1" t="s">
        <v>60</v>
      </c>
      <c r="B9" s="1">
        <f>B8*20/100</f>
        <v>3200</v>
      </c>
      <c r="C9" s="1"/>
      <c r="D9" s="1"/>
      <c r="E9" s="1"/>
    </row>
    <row r="10" spans="1:5" x14ac:dyDescent="0.25">
      <c r="A10" s="1" t="s">
        <v>38</v>
      </c>
      <c r="B10" s="1">
        <f>B8-B9</f>
        <v>12800</v>
      </c>
      <c r="C10" s="1"/>
      <c r="D10" s="1"/>
      <c r="E10" s="1"/>
    </row>
    <row r="11" spans="1:5" x14ac:dyDescent="0.25">
      <c r="A11" s="1" t="s">
        <v>41</v>
      </c>
      <c r="B11" s="1">
        <f>SUM(E5,B7)</f>
        <v>36000</v>
      </c>
      <c r="C11" s="1"/>
      <c r="D11" s="1"/>
      <c r="E11" s="1"/>
    </row>
    <row r="12" spans="1:5" x14ac:dyDescent="0.25">
      <c r="A12" s="1" t="s">
        <v>64</v>
      </c>
      <c r="B12" s="1">
        <f>B11*10/100</f>
        <v>3600</v>
      </c>
      <c r="C12" s="1"/>
      <c r="D12" s="1"/>
      <c r="E12" s="1"/>
    </row>
    <row r="13" spans="1:5" x14ac:dyDescent="0.25">
      <c r="A13" s="1" t="s">
        <v>41</v>
      </c>
      <c r="B13" s="1">
        <f>B11-B12</f>
        <v>32400</v>
      </c>
      <c r="C13" s="1"/>
      <c r="D13" s="1"/>
      <c r="E13" s="1"/>
    </row>
    <row r="14" spans="1:5" x14ac:dyDescent="0.25">
      <c r="A14" s="1" t="s">
        <v>42</v>
      </c>
      <c r="B14" s="1">
        <f>B13*15/100</f>
        <v>4860</v>
      </c>
      <c r="C14" s="1"/>
      <c r="D14" s="1"/>
      <c r="E14" s="1"/>
    </row>
    <row r="15" spans="1:5" x14ac:dyDescent="0.25">
      <c r="A15" s="1" t="s">
        <v>43</v>
      </c>
      <c r="B15" s="1">
        <f>SUM(B13:B14)</f>
        <v>37260</v>
      </c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- 19 November</vt:lpstr>
      <vt:lpstr>Budget - 20 November</vt:lpstr>
      <vt:lpstr>Budget - 21 November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Marano</dc:creator>
  <cp:lastModifiedBy>Daniela Marano</cp:lastModifiedBy>
  <dcterms:created xsi:type="dcterms:W3CDTF">2020-03-31T10:21:26Z</dcterms:created>
  <dcterms:modified xsi:type="dcterms:W3CDTF">2020-07-30T13:59:33Z</dcterms:modified>
</cp:coreProperties>
</file>