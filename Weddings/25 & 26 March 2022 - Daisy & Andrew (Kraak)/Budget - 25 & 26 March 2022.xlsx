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 - 25 March 2022" sheetId="1" r:id="rId4"/>
    <sheet state="visible" name="Updated Budget - 25 March 2022" sheetId="2" r:id="rId5"/>
    <sheet state="visible" name="Copy of Updated Budget - 25 Mar" sheetId="3" r:id="rId6"/>
    <sheet state="visible" name="Budget - 26 March 2022 " sheetId="4" r:id="rId7"/>
    <sheet state="visible" name="Updated Budget - 26 March 2022 " sheetId="5" r:id="rId8"/>
  </sheets>
  <definedNames/>
  <calcPr/>
  <extLst>
    <ext uri="GoogleSheetsCustomDataVersion1">
      <go:sheetsCustomData xmlns:go="http://customooxmlschemas.google.com/" r:id="rId9" roundtripDataSignature="AMtx7miJucyGqp0gSZmxTKVwpxe/n8hBRA=="/>
    </ext>
  </extLst>
</workbook>
</file>

<file path=xl/sharedStrings.xml><?xml version="1.0" encoding="utf-8"?>
<sst xmlns="http://schemas.openxmlformats.org/spreadsheetml/2006/main" count="259" uniqueCount="74">
  <si>
    <t>Budget - 25 March 2022</t>
  </si>
  <si>
    <t xml:space="preserve">Individual Musician Rates </t>
  </si>
  <si>
    <t>Set</t>
  </si>
  <si>
    <t xml:space="preserve">Musician Type </t>
  </si>
  <si>
    <t xml:space="preserve">Musician Name </t>
  </si>
  <si>
    <t>Rate</t>
  </si>
  <si>
    <t xml:space="preserve">Quoted rate </t>
  </si>
  <si>
    <t xml:space="preserve">Asili Vocal Ensemble </t>
  </si>
  <si>
    <t>Guest arrivals and ceremony</t>
  </si>
  <si>
    <t xml:space="preserve">Choir </t>
  </si>
  <si>
    <t xml:space="preserve">Keys accompaniment </t>
  </si>
  <si>
    <t xml:space="preserve">Keys </t>
  </si>
  <si>
    <t xml:space="preserve">Kyle Petersen </t>
  </si>
  <si>
    <t xml:space="preserve">Ethan Florus </t>
  </si>
  <si>
    <t xml:space="preserve">Rus Nerwich </t>
  </si>
  <si>
    <t xml:space="preserve">Nicholas Williams </t>
  </si>
  <si>
    <t xml:space="preserve">Pre-drinks </t>
  </si>
  <si>
    <t xml:space="preserve">Vocals + guitar </t>
  </si>
  <si>
    <t xml:space="preserve">Kevin Gibson </t>
  </si>
  <si>
    <t xml:space="preserve">Saxophone </t>
  </si>
  <si>
    <t xml:space="preserve">Andrew Ford </t>
  </si>
  <si>
    <t xml:space="preserve">Bass </t>
  </si>
  <si>
    <t xml:space="preserve">Angelo Syster </t>
  </si>
  <si>
    <t xml:space="preserve">Drums </t>
  </si>
  <si>
    <t xml:space="preserve">Francesca Biancoli </t>
  </si>
  <si>
    <t xml:space="preserve">Nathan Ambach </t>
  </si>
  <si>
    <t xml:space="preserve">Transition </t>
  </si>
  <si>
    <t xml:space="preserve">African Percussion </t>
  </si>
  <si>
    <t xml:space="preserve">Il Afro Suns </t>
  </si>
  <si>
    <t xml:space="preserve">Artists cancelled </t>
  </si>
  <si>
    <t xml:space="preserve">Deposit payment </t>
  </si>
  <si>
    <t xml:space="preserve">Dinner: Option Two </t>
  </si>
  <si>
    <t xml:space="preserve">DJ </t>
  </si>
  <si>
    <t>Dance</t>
  </si>
  <si>
    <t xml:space="preserve">Vocalist </t>
  </si>
  <si>
    <t>Saxophone</t>
  </si>
  <si>
    <t xml:space="preserve">Trumpet </t>
  </si>
  <si>
    <t xml:space="preserve">Lee Thomson </t>
  </si>
  <si>
    <t xml:space="preserve">Guitar </t>
  </si>
  <si>
    <t xml:space="preserve">Party </t>
  </si>
  <si>
    <t xml:space="preserve">DJ Option </t>
  </si>
  <si>
    <t xml:space="preserve">Total musician total </t>
  </si>
  <si>
    <t xml:space="preserve">Coordination </t>
  </si>
  <si>
    <t xml:space="preserve">Total expense </t>
  </si>
  <si>
    <t xml:space="preserve">Full price </t>
  </si>
  <si>
    <t xml:space="preserve">Discounted </t>
  </si>
  <si>
    <t xml:space="preserve">Built in commission </t>
  </si>
  <si>
    <t xml:space="preserve">Booking fee - 20% </t>
  </si>
  <si>
    <t xml:space="preserve">Dani commission </t>
  </si>
  <si>
    <t xml:space="preserve">TON commission </t>
  </si>
  <si>
    <t xml:space="preserve">Total commission </t>
  </si>
  <si>
    <t xml:space="preserve">Total excluding VAT </t>
  </si>
  <si>
    <t xml:space="preserve">Discount - 10% </t>
  </si>
  <si>
    <t xml:space="preserve">VAT </t>
  </si>
  <si>
    <t xml:space="preserve">Total including VAT </t>
  </si>
  <si>
    <t xml:space="preserve">Deposit payment received </t>
  </si>
  <si>
    <t xml:space="preserve">Balance of payment </t>
  </si>
  <si>
    <t>Blake Hellaby</t>
  </si>
  <si>
    <t>Marco Maritz</t>
  </si>
  <si>
    <t xml:space="preserve">Marc De Kock </t>
  </si>
  <si>
    <t xml:space="preserve">Blake Hellaby </t>
  </si>
  <si>
    <t>N/A</t>
  </si>
  <si>
    <t xml:space="preserve">Abigail Johnson </t>
  </si>
  <si>
    <t xml:space="preserve">Budget - 26 March 2022 </t>
  </si>
  <si>
    <t xml:space="preserve">Set </t>
  </si>
  <si>
    <t xml:space="preserve">Rate </t>
  </si>
  <si>
    <t xml:space="preserve">Colin Sher </t>
  </si>
  <si>
    <t xml:space="preserve">Total musician expense </t>
  </si>
  <si>
    <t xml:space="preserve">Discounted commission </t>
  </si>
  <si>
    <t>Booking fee - 20%</t>
  </si>
  <si>
    <t xml:space="preserve">Dani Commission </t>
  </si>
  <si>
    <t xml:space="preserve">Remaining deposit </t>
  </si>
  <si>
    <t xml:space="preserve">VAT portion </t>
  </si>
  <si>
    <t>Artist cancellation 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</si>
</sst>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&quot;#,##0.00"/>
  </numFmts>
  <fonts count="5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color theme="1"/>
      <name val="Calibri"/>
      <scheme val="minor"/>
    </font>
    <font>
      <sz val="10.0"/>
      <color theme="1"/>
      <name val="Calibri"/>
      <scheme val="minor"/>
    </font>
    <font>
      <b/>
      <sz val="10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0" numFmtId="0" xfId="0" applyAlignment="1" applyBorder="1" applyFont="1">
      <alignment readingOrder="0"/>
    </xf>
    <xf borderId="1" fillId="0" fontId="0" numFmtId="0" xfId="0" applyBorder="1" applyFont="1"/>
    <xf borderId="1" fillId="0" fontId="0" numFmtId="164" xfId="0" applyBorder="1" applyFont="1" applyNumberFormat="1"/>
    <xf borderId="1" fillId="0" fontId="1" numFmtId="0" xfId="0" applyBorder="1" applyFont="1"/>
    <xf borderId="2" fillId="0" fontId="0" numFmtId="0" xfId="0" applyBorder="1" applyFont="1"/>
    <xf borderId="0" fillId="0" fontId="0" numFmtId="164" xfId="0" applyFont="1" applyNumberFormat="1"/>
    <xf borderId="1" fillId="0" fontId="0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164" xfId="0" applyBorder="1" applyFont="1" applyNumberForma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3" numFmtId="164" xfId="0" applyBorder="1" applyFont="1" applyNumberFormat="1"/>
    <xf borderId="1" fillId="0" fontId="4" numFmtId="0" xfId="0" applyBorder="1" applyFont="1"/>
    <xf borderId="1" fillId="0" fontId="4" numFmtId="164" xfId="0" applyBorder="1" applyFont="1" applyNumberFormat="1"/>
    <xf borderId="2" fillId="0" fontId="3" numFmtId="0" xfId="0" applyBorder="1" applyFont="1"/>
    <xf borderId="0" fillId="0" fontId="3" numFmtId="164" xfId="0" applyFont="1" applyNumberFormat="1"/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2" width="18.0"/>
    <col customWidth="1" min="3" max="3" width="22.86"/>
    <col customWidth="1" min="4" max="4" width="10.14"/>
    <col customWidth="1" min="5" max="5" width="12.14"/>
    <col customWidth="1" min="6" max="6" width="8.71"/>
    <col customWidth="1" min="7" max="7" width="24.29"/>
    <col customWidth="1" min="8" max="8" width="10.14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 t="s">
        <v>1</v>
      </c>
      <c r="H1" s="2"/>
    </row>
    <row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/>
      <c r="G2" s="2" t="s">
        <v>7</v>
      </c>
      <c r="H2" s="3">
        <v>18000.0</v>
      </c>
    </row>
    <row r="3">
      <c r="A3" s="2" t="s">
        <v>8</v>
      </c>
      <c r="B3" s="2" t="s">
        <v>9</v>
      </c>
      <c r="C3" s="2" t="s">
        <v>7</v>
      </c>
      <c r="D3" s="3">
        <f>2000*9</f>
        <v>18000</v>
      </c>
      <c r="E3" s="3">
        <f t="shared" ref="E3:E4" si="1">D3*20/100+D3</f>
        <v>21600</v>
      </c>
      <c r="F3" s="2"/>
      <c r="G3" s="2" t="s">
        <v>10</v>
      </c>
      <c r="H3" s="3">
        <v>3000.0</v>
      </c>
    </row>
    <row r="4">
      <c r="A4" s="2"/>
      <c r="B4" s="2" t="s">
        <v>11</v>
      </c>
      <c r="C4" s="2" t="s">
        <v>12</v>
      </c>
      <c r="D4" s="3">
        <v>3000.0</v>
      </c>
      <c r="E4" s="3">
        <f t="shared" si="1"/>
        <v>3600</v>
      </c>
      <c r="F4" s="2"/>
      <c r="G4" s="2" t="s">
        <v>13</v>
      </c>
      <c r="H4" s="3">
        <f>D7</f>
        <v>3000</v>
      </c>
    </row>
    <row r="5">
      <c r="A5" s="2"/>
      <c r="B5" s="2"/>
      <c r="C5" s="2"/>
      <c r="D5" s="3">
        <f t="shared" ref="D5:E5" si="2">SUM(D3:D4)</f>
        <v>21000</v>
      </c>
      <c r="E5" s="3">
        <f t="shared" si="2"/>
        <v>25200</v>
      </c>
      <c r="F5" s="2"/>
      <c r="G5" s="2" t="s">
        <v>14</v>
      </c>
      <c r="H5" s="3">
        <f>SUM(D8,D16,D20)</f>
        <v>8000</v>
      </c>
    </row>
    <row r="6">
      <c r="A6" s="2"/>
      <c r="B6" s="2"/>
      <c r="C6" s="2"/>
      <c r="D6" s="3"/>
      <c r="E6" s="3"/>
      <c r="F6" s="2"/>
      <c r="G6" s="2" t="s">
        <v>15</v>
      </c>
      <c r="H6" s="3">
        <f>SUM(D9,D24)</f>
        <v>5000</v>
      </c>
    </row>
    <row r="7">
      <c r="A7" s="2" t="s">
        <v>16</v>
      </c>
      <c r="B7" s="2" t="s">
        <v>17</v>
      </c>
      <c r="C7" s="2" t="s">
        <v>13</v>
      </c>
      <c r="D7" s="3">
        <v>3000.0</v>
      </c>
      <c r="E7" s="3">
        <f t="shared" ref="E7:E8" si="3">D7*50/100+D7</f>
        <v>4500</v>
      </c>
      <c r="F7" s="2"/>
      <c r="G7" s="2" t="s">
        <v>18</v>
      </c>
      <c r="H7" s="3">
        <f>SUM(D9,D25)</f>
        <v>5000</v>
      </c>
    </row>
    <row r="8">
      <c r="A8" s="2"/>
      <c r="B8" s="2" t="s">
        <v>19</v>
      </c>
      <c r="C8" s="2" t="s">
        <v>14</v>
      </c>
      <c r="D8" s="3">
        <v>2000.0</v>
      </c>
      <c r="E8" s="3">
        <f t="shared" si="3"/>
        <v>3000</v>
      </c>
      <c r="F8" s="2"/>
      <c r="G8" s="2" t="s">
        <v>20</v>
      </c>
      <c r="H8" s="3">
        <f>SUM(D23)</f>
        <v>3000</v>
      </c>
    </row>
    <row r="9">
      <c r="A9" s="2"/>
      <c r="B9" s="2" t="s">
        <v>21</v>
      </c>
      <c r="C9" s="2" t="s">
        <v>15</v>
      </c>
      <c r="D9" s="3">
        <v>2000.0</v>
      </c>
      <c r="E9" s="3">
        <v>3000.0</v>
      </c>
      <c r="F9" s="2"/>
      <c r="G9" s="2" t="s">
        <v>22</v>
      </c>
      <c r="H9" s="3">
        <f>SUM(D22)</f>
        <v>3000</v>
      </c>
    </row>
    <row r="10">
      <c r="A10" s="2"/>
      <c r="B10" s="2" t="s">
        <v>23</v>
      </c>
      <c r="C10" s="2" t="s">
        <v>18</v>
      </c>
      <c r="D10" s="3">
        <v>2000.0</v>
      </c>
      <c r="E10" s="3">
        <f>D10*50/100+D10</f>
        <v>3000</v>
      </c>
      <c r="F10" s="2"/>
      <c r="G10" s="2" t="s">
        <v>24</v>
      </c>
      <c r="H10" s="3">
        <f>SUM(D19)</f>
        <v>3000</v>
      </c>
    </row>
    <row r="11">
      <c r="A11" s="2"/>
      <c r="B11" s="2"/>
      <c r="C11" s="2"/>
      <c r="D11" s="3">
        <f t="shared" ref="D11:E11" si="4">SUM(D7:D10)</f>
        <v>9000</v>
      </c>
      <c r="E11" s="3">
        <f t="shared" si="4"/>
        <v>13500</v>
      </c>
      <c r="F11" s="2"/>
      <c r="G11" s="2" t="s">
        <v>25</v>
      </c>
      <c r="H11" s="3">
        <f>SUM(D18,D28)</f>
        <v>17500</v>
      </c>
    </row>
    <row r="12">
      <c r="A12" s="2"/>
      <c r="B12" s="2"/>
      <c r="C12" s="2"/>
      <c r="D12" s="3"/>
      <c r="E12" s="3"/>
      <c r="F12" s="2"/>
      <c r="G12" s="2"/>
      <c r="H12" s="1" t="str">
        <f>J11</f>
        <v/>
      </c>
    </row>
    <row r="13">
      <c r="A13" s="2" t="s">
        <v>26</v>
      </c>
      <c r="B13" s="2" t="s">
        <v>27</v>
      </c>
      <c r="C13" s="2" t="s">
        <v>28</v>
      </c>
      <c r="D13" s="3">
        <f>1250*4</f>
        <v>5000</v>
      </c>
      <c r="E13" s="3">
        <f>D13*50/100+D13</f>
        <v>7500</v>
      </c>
      <c r="F13" s="2"/>
      <c r="G13" s="2"/>
      <c r="H13" s="2"/>
    </row>
    <row r="14">
      <c r="A14" s="2"/>
      <c r="B14" s="2"/>
      <c r="C14" s="2"/>
      <c r="D14" s="3"/>
      <c r="E14" s="3"/>
      <c r="F14" s="2"/>
      <c r="G14" s="1" t="s">
        <v>29</v>
      </c>
      <c r="H14" s="3">
        <f>SUM(E8:E10,E13)</f>
        <v>16500</v>
      </c>
    </row>
    <row r="15">
      <c r="A15" s="2"/>
      <c r="B15" s="2"/>
      <c r="C15" s="2"/>
      <c r="D15" s="3"/>
      <c r="E15" s="3"/>
      <c r="F15" s="2"/>
      <c r="G15" s="1" t="s">
        <v>30</v>
      </c>
      <c r="H15" s="3">
        <f>H14/2</f>
        <v>8250</v>
      </c>
    </row>
    <row r="16">
      <c r="A16" s="2" t="s">
        <v>31</v>
      </c>
      <c r="B16" s="2" t="s">
        <v>32</v>
      </c>
      <c r="C16" s="2" t="s">
        <v>14</v>
      </c>
      <c r="D16" s="3">
        <v>3000.0</v>
      </c>
      <c r="E16" s="3">
        <f>D16*50/100+D16</f>
        <v>4500</v>
      </c>
      <c r="F16" s="2"/>
      <c r="G16" s="2"/>
      <c r="H16" s="2"/>
    </row>
    <row r="17">
      <c r="A17" s="2"/>
      <c r="B17" s="2"/>
      <c r="C17" s="2"/>
      <c r="D17" s="3"/>
      <c r="E17" s="3"/>
      <c r="F17" s="2"/>
      <c r="G17" s="2"/>
      <c r="H17" s="2"/>
    </row>
    <row r="18">
      <c r="A18" s="2" t="s">
        <v>33</v>
      </c>
      <c r="B18" s="2" t="s">
        <v>34</v>
      </c>
      <c r="C18" s="2" t="s">
        <v>25</v>
      </c>
      <c r="D18" s="3">
        <v>5000.0</v>
      </c>
      <c r="E18" s="3">
        <f t="shared" ref="E18:E26" si="5">D18*50/100+D18</f>
        <v>7500</v>
      </c>
      <c r="F18" s="2"/>
      <c r="G18" s="2"/>
      <c r="H18" s="2"/>
    </row>
    <row r="19">
      <c r="A19" s="2"/>
      <c r="B19" s="2" t="s">
        <v>34</v>
      </c>
      <c r="C19" s="2" t="s">
        <v>24</v>
      </c>
      <c r="D19" s="3">
        <v>3000.0</v>
      </c>
      <c r="E19" s="3">
        <f t="shared" si="5"/>
        <v>4500</v>
      </c>
      <c r="F19" s="2"/>
      <c r="G19" s="2"/>
      <c r="H19" s="2"/>
    </row>
    <row r="20">
      <c r="A20" s="2"/>
      <c r="B20" s="2" t="s">
        <v>35</v>
      </c>
      <c r="C20" s="2" t="s">
        <v>14</v>
      </c>
      <c r="D20" s="3">
        <v>3000.0</v>
      </c>
      <c r="E20" s="3">
        <f t="shared" si="5"/>
        <v>4500</v>
      </c>
      <c r="F20" s="2"/>
      <c r="G20" s="2"/>
      <c r="H20" s="2"/>
    </row>
    <row r="21" ht="15.75" customHeight="1">
      <c r="A21" s="2"/>
      <c r="B21" s="2" t="s">
        <v>36</v>
      </c>
      <c r="C21" s="2" t="s">
        <v>37</v>
      </c>
      <c r="D21" s="3">
        <v>3000.0</v>
      </c>
      <c r="E21" s="3">
        <f t="shared" si="5"/>
        <v>4500</v>
      </c>
      <c r="F21" s="2"/>
      <c r="G21" s="2"/>
      <c r="H21" s="2"/>
    </row>
    <row r="22" ht="15.75" customHeight="1">
      <c r="A22" s="2"/>
      <c r="B22" s="2" t="s">
        <v>38</v>
      </c>
      <c r="C22" s="2" t="s">
        <v>22</v>
      </c>
      <c r="D22" s="3">
        <v>3000.0</v>
      </c>
      <c r="E22" s="3">
        <f t="shared" si="5"/>
        <v>4500</v>
      </c>
      <c r="F22" s="2"/>
      <c r="G22" s="2"/>
      <c r="H22" s="2"/>
    </row>
    <row r="23" ht="15.75" customHeight="1">
      <c r="A23" s="2"/>
      <c r="B23" s="2" t="s">
        <v>11</v>
      </c>
      <c r="C23" s="2" t="s">
        <v>20</v>
      </c>
      <c r="D23" s="3">
        <v>3000.0</v>
      </c>
      <c r="E23" s="3">
        <f t="shared" si="5"/>
        <v>4500</v>
      </c>
      <c r="F23" s="2"/>
      <c r="G23" s="2"/>
      <c r="H23" s="2"/>
    </row>
    <row r="24" ht="15.75" customHeight="1">
      <c r="A24" s="2"/>
      <c r="B24" s="2" t="s">
        <v>21</v>
      </c>
      <c r="C24" s="2" t="s">
        <v>15</v>
      </c>
      <c r="D24" s="3">
        <v>3000.0</v>
      </c>
      <c r="E24" s="3">
        <f t="shared" si="5"/>
        <v>4500</v>
      </c>
      <c r="F24" s="2"/>
      <c r="G24" s="2"/>
      <c r="H24" s="2"/>
    </row>
    <row r="25" ht="15.75" customHeight="1">
      <c r="A25" s="2"/>
      <c r="B25" s="2" t="s">
        <v>23</v>
      </c>
      <c r="C25" s="2" t="s">
        <v>18</v>
      </c>
      <c r="D25" s="3">
        <v>3000.0</v>
      </c>
      <c r="E25" s="3">
        <f t="shared" si="5"/>
        <v>4500</v>
      </c>
      <c r="F25" s="2"/>
      <c r="G25" s="2"/>
      <c r="H25" s="2"/>
    </row>
    <row r="26" ht="15.75" customHeight="1">
      <c r="A26" s="2"/>
      <c r="B26" s="2"/>
      <c r="C26" s="2"/>
      <c r="D26" s="3">
        <f>SUM(D18:D25)</f>
        <v>26000</v>
      </c>
      <c r="E26" s="3">
        <f t="shared" si="5"/>
        <v>39000</v>
      </c>
      <c r="F26" s="2"/>
      <c r="G26" s="2"/>
      <c r="H26" s="2"/>
    </row>
    <row r="27" ht="15.75" customHeight="1">
      <c r="A27" s="2"/>
      <c r="B27" s="2"/>
      <c r="C27" s="2"/>
      <c r="D27" s="3"/>
      <c r="E27" s="3"/>
      <c r="F27" s="2"/>
      <c r="G27" s="2"/>
      <c r="H27" s="2"/>
    </row>
    <row r="28" ht="15.75" customHeight="1">
      <c r="A28" s="2" t="s">
        <v>39</v>
      </c>
      <c r="B28" s="2" t="s">
        <v>40</v>
      </c>
      <c r="C28" s="2" t="s">
        <v>25</v>
      </c>
      <c r="D28" s="3">
        <v>12500.0</v>
      </c>
      <c r="E28" s="3">
        <f>D28*20/100+D28</f>
        <v>15000</v>
      </c>
      <c r="F28" s="2"/>
      <c r="G28" s="2"/>
      <c r="H28" s="2"/>
    </row>
    <row r="29" ht="15.75" customHeight="1">
      <c r="A29" s="2"/>
      <c r="B29" s="2"/>
      <c r="C29" s="2" t="s">
        <v>41</v>
      </c>
      <c r="D29" s="3">
        <f t="shared" ref="D29:E29" si="6">SUM(D5,D11,D13,D16,D26,D28)</f>
        <v>76500</v>
      </c>
      <c r="E29" s="3">
        <f t="shared" si="6"/>
        <v>104700</v>
      </c>
      <c r="F29" s="2"/>
      <c r="G29" s="2"/>
      <c r="H29" s="2"/>
    </row>
    <row r="30" ht="15.75" customHeight="1">
      <c r="A30" s="2"/>
      <c r="B30" s="2"/>
      <c r="C30" s="2" t="s">
        <v>42</v>
      </c>
      <c r="D30" s="3">
        <v>3000.0</v>
      </c>
      <c r="E30" s="3">
        <v>3000.0</v>
      </c>
      <c r="F30" s="2"/>
      <c r="G30" s="2"/>
      <c r="H30" s="2"/>
    </row>
    <row r="31" ht="15.75" customHeight="1">
      <c r="A31" s="2"/>
      <c r="B31" s="2"/>
      <c r="C31" s="2" t="s">
        <v>43</v>
      </c>
      <c r="D31" s="3">
        <f>SUM(D29,D30)</f>
        <v>79500</v>
      </c>
      <c r="E31" s="3">
        <f>SUM(E29:E30)</f>
        <v>107700</v>
      </c>
      <c r="F31" s="2"/>
      <c r="G31" s="2"/>
      <c r="H31" s="2"/>
    </row>
    <row r="32" ht="15.75" customHeight="1">
      <c r="A32" s="2"/>
      <c r="B32" s="2"/>
      <c r="C32" s="2"/>
      <c r="D32" s="3"/>
      <c r="E32" s="3"/>
      <c r="F32" s="2"/>
      <c r="G32" s="2"/>
      <c r="H32" s="2"/>
    </row>
    <row r="33" ht="15.75" customHeight="1">
      <c r="A33" s="1" t="s">
        <v>44</v>
      </c>
      <c r="B33" s="2"/>
      <c r="C33" s="1" t="s">
        <v>45</v>
      </c>
      <c r="D33" s="2"/>
      <c r="E33" s="2"/>
      <c r="F33" s="2"/>
      <c r="G33" s="2"/>
      <c r="H33" s="2"/>
    </row>
    <row r="34" ht="15.75" customHeight="1">
      <c r="A34" s="2" t="s">
        <v>46</v>
      </c>
      <c r="B34" s="3">
        <f>E31-D31</f>
        <v>28200</v>
      </c>
      <c r="C34" s="2"/>
      <c r="D34" s="2"/>
      <c r="E34" s="2"/>
      <c r="F34" s="2"/>
      <c r="G34" s="2"/>
      <c r="H34" s="2"/>
    </row>
    <row r="35" ht="15.75" customHeight="1">
      <c r="A35" s="2" t="s">
        <v>47</v>
      </c>
      <c r="B35" s="3">
        <f>E29*20/100</f>
        <v>20940</v>
      </c>
      <c r="C35" s="2"/>
      <c r="D35" s="2"/>
      <c r="E35" s="2"/>
      <c r="F35" s="2"/>
      <c r="G35" s="2"/>
      <c r="H35" s="2"/>
    </row>
    <row r="36" ht="15.75" customHeight="1">
      <c r="A36" s="2" t="s">
        <v>48</v>
      </c>
      <c r="B36" s="3">
        <f>B38*20/100</f>
        <v>9828</v>
      </c>
      <c r="C36" s="3"/>
      <c r="D36" s="2"/>
      <c r="E36" s="2"/>
      <c r="F36" s="2"/>
      <c r="G36" s="2"/>
      <c r="H36" s="2"/>
    </row>
    <row r="37" ht="15.75" customHeight="1">
      <c r="A37" s="2" t="s">
        <v>49</v>
      </c>
      <c r="B37" s="3">
        <f>B38-B36</f>
        <v>39312</v>
      </c>
      <c r="C37" s="3"/>
      <c r="D37" s="2"/>
      <c r="E37" s="2"/>
      <c r="F37" s="2"/>
      <c r="G37" s="2"/>
      <c r="H37" s="2"/>
    </row>
    <row r="38" ht="15.75" customHeight="1">
      <c r="A38" s="2" t="s">
        <v>50</v>
      </c>
      <c r="B38" s="3">
        <f>SUM(B34:B35)</f>
        <v>49140</v>
      </c>
      <c r="C38" s="3"/>
      <c r="D38" s="2"/>
      <c r="E38" s="2"/>
      <c r="F38" s="2"/>
      <c r="G38" s="2"/>
      <c r="H38" s="2"/>
    </row>
    <row r="39" ht="15.75" customHeight="1">
      <c r="A39" s="2" t="s">
        <v>51</v>
      </c>
      <c r="B39" s="3">
        <f>SUM(E31,B35)</f>
        <v>128640</v>
      </c>
      <c r="C39" s="3"/>
      <c r="D39" s="2"/>
      <c r="E39" s="2"/>
      <c r="F39" s="2"/>
      <c r="G39" s="2"/>
      <c r="H39" s="2"/>
    </row>
    <row r="40" ht="15.75" customHeight="1">
      <c r="A40" s="4" t="s">
        <v>52</v>
      </c>
      <c r="B40" s="3">
        <f>B39*10/100</f>
        <v>12864</v>
      </c>
      <c r="C40" s="2"/>
      <c r="D40" s="2"/>
      <c r="E40" s="2"/>
      <c r="F40" s="2"/>
      <c r="G40" s="2"/>
      <c r="H40" s="2"/>
    </row>
    <row r="41" ht="15.75" customHeight="1">
      <c r="A41" s="2" t="s">
        <v>51</v>
      </c>
      <c r="B41" s="3">
        <f>B39-B40</f>
        <v>115776</v>
      </c>
      <c r="D41" s="2"/>
      <c r="E41" s="2"/>
      <c r="F41" s="2"/>
      <c r="G41" s="2"/>
      <c r="H41" s="2"/>
    </row>
    <row r="42" ht="15.75" customHeight="1">
      <c r="A42" s="2" t="s">
        <v>53</v>
      </c>
      <c r="B42" s="3">
        <f>B41*15/100</f>
        <v>17366.4</v>
      </c>
      <c r="C42" s="3"/>
      <c r="D42" s="2"/>
      <c r="E42" s="2"/>
      <c r="F42" s="2"/>
      <c r="G42" s="2"/>
      <c r="H42" s="2"/>
    </row>
    <row r="43" ht="15.75" customHeight="1">
      <c r="A43" s="2" t="s">
        <v>54</v>
      </c>
      <c r="B43" s="3">
        <f>SUM(B41:B42)</f>
        <v>133142.4</v>
      </c>
      <c r="C43" s="2"/>
      <c r="D43" s="2"/>
      <c r="E43" s="2"/>
      <c r="F43" s="2"/>
      <c r="G43" s="2"/>
      <c r="H43" s="2"/>
    </row>
    <row r="44" ht="15.75" customHeight="1">
      <c r="A44" s="2" t="s">
        <v>55</v>
      </c>
      <c r="B44" s="3">
        <v>66571.2</v>
      </c>
      <c r="C44" s="2"/>
      <c r="D44" s="2"/>
      <c r="E44" s="2"/>
      <c r="F44" s="2"/>
      <c r="G44" s="2"/>
      <c r="H44" s="2"/>
    </row>
    <row r="45" ht="15.75" customHeight="1">
      <c r="A45" s="5" t="s">
        <v>56</v>
      </c>
      <c r="B45" s="6">
        <f>B43-B44</f>
        <v>66571.2</v>
      </c>
    </row>
    <row r="46" ht="15.75" customHeight="1">
      <c r="B46" s="6"/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2" width="18.0"/>
    <col customWidth="1" min="3" max="3" width="22.86"/>
    <col customWidth="1" min="4" max="4" width="10.14"/>
    <col customWidth="1" min="5" max="5" width="12.14"/>
    <col customWidth="1" min="6" max="6" width="8.71"/>
    <col customWidth="1" min="7" max="7" width="24.29"/>
    <col customWidth="1" min="8" max="8" width="10.14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 t="s">
        <v>1</v>
      </c>
      <c r="H1" s="2"/>
    </row>
    <row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/>
      <c r="G2" s="2" t="s">
        <v>7</v>
      </c>
      <c r="H2" s="3">
        <v>18000.0</v>
      </c>
    </row>
    <row r="3">
      <c r="A3" s="2" t="s">
        <v>8</v>
      </c>
      <c r="B3" s="2" t="s">
        <v>9</v>
      </c>
      <c r="C3" s="2" t="s">
        <v>7</v>
      </c>
      <c r="D3" s="3">
        <f>2000*9</f>
        <v>18000</v>
      </c>
      <c r="E3" s="3">
        <f t="shared" ref="E3:E4" si="1">D3*20/100+D3</f>
        <v>21600</v>
      </c>
      <c r="F3" s="2"/>
      <c r="G3" s="2" t="s">
        <v>10</v>
      </c>
      <c r="H3" s="3">
        <v>3000.0</v>
      </c>
    </row>
    <row r="4">
      <c r="A4" s="2"/>
      <c r="B4" s="2" t="s">
        <v>11</v>
      </c>
      <c r="C4" s="2" t="s">
        <v>12</v>
      </c>
      <c r="D4" s="3">
        <v>3000.0</v>
      </c>
      <c r="E4" s="3">
        <f t="shared" si="1"/>
        <v>3600</v>
      </c>
      <c r="F4" s="2"/>
      <c r="G4" s="2" t="s">
        <v>13</v>
      </c>
      <c r="H4" s="3">
        <f>D7</f>
        <v>4000</v>
      </c>
    </row>
    <row r="5">
      <c r="A5" s="2"/>
      <c r="B5" s="2"/>
      <c r="C5" s="2"/>
      <c r="D5" s="3">
        <f t="shared" ref="D5:E5" si="2">SUM(D3:D4)</f>
        <v>21000</v>
      </c>
      <c r="E5" s="3">
        <f t="shared" si="2"/>
        <v>25200</v>
      </c>
      <c r="F5" s="2"/>
      <c r="G5" s="2" t="s">
        <v>14</v>
      </c>
      <c r="H5" s="3">
        <f>SUM(D9,D13)</f>
        <v>6000</v>
      </c>
    </row>
    <row r="6">
      <c r="A6" s="2"/>
      <c r="B6" s="2"/>
      <c r="C6" s="2"/>
      <c r="D6" s="3"/>
      <c r="E6" s="3"/>
      <c r="F6" s="2"/>
      <c r="G6" s="2" t="s">
        <v>15</v>
      </c>
      <c r="H6" s="3">
        <f>SUM(D17)</f>
        <v>3000</v>
      </c>
    </row>
    <row r="7">
      <c r="A7" s="2" t="s">
        <v>16</v>
      </c>
      <c r="B7" s="2" t="s">
        <v>17</v>
      </c>
      <c r="C7" s="2" t="s">
        <v>13</v>
      </c>
      <c r="D7" s="7">
        <v>4000.0</v>
      </c>
      <c r="E7" s="3">
        <f>D7*50/100+D7</f>
        <v>6000</v>
      </c>
      <c r="F7" s="2"/>
      <c r="G7" s="2" t="s">
        <v>18</v>
      </c>
      <c r="H7" s="3">
        <f>D18</f>
        <v>3000</v>
      </c>
    </row>
    <row r="8">
      <c r="A8" s="2"/>
      <c r="B8" s="2"/>
      <c r="C8" s="2"/>
      <c r="D8" s="3"/>
      <c r="E8" s="3"/>
      <c r="F8" s="2"/>
      <c r="G8" s="2" t="s">
        <v>20</v>
      </c>
      <c r="H8" s="3">
        <f>SUM(D16)</f>
        <v>3000</v>
      </c>
    </row>
    <row r="9">
      <c r="A9" s="2" t="s">
        <v>31</v>
      </c>
      <c r="B9" s="2" t="s">
        <v>32</v>
      </c>
      <c r="C9" s="2" t="s">
        <v>14</v>
      </c>
      <c r="D9" s="3">
        <v>3000.0</v>
      </c>
      <c r="E9" s="3">
        <f>D9*50/100+D9</f>
        <v>4500</v>
      </c>
      <c r="F9" s="2"/>
      <c r="G9" s="2" t="s">
        <v>22</v>
      </c>
      <c r="H9" s="3">
        <f>SUM(D15)</f>
        <v>3000</v>
      </c>
    </row>
    <row r="10">
      <c r="A10" s="2"/>
      <c r="B10" s="2"/>
      <c r="C10" s="2"/>
      <c r="D10" s="3"/>
      <c r="E10" s="3"/>
      <c r="F10" s="2"/>
      <c r="G10" s="2" t="s">
        <v>24</v>
      </c>
      <c r="H10" s="3">
        <f>SUM(D12)</f>
        <v>3000</v>
      </c>
    </row>
    <row r="11">
      <c r="A11" s="2" t="s">
        <v>33</v>
      </c>
      <c r="B11" s="2" t="s">
        <v>34</v>
      </c>
      <c r="C11" s="2" t="s">
        <v>25</v>
      </c>
      <c r="D11" s="3">
        <v>5000.0</v>
      </c>
      <c r="E11" s="3">
        <f t="shared" ref="E11:E19" si="3">D11*50/100+D11</f>
        <v>7500</v>
      </c>
      <c r="F11" s="2"/>
      <c r="G11" s="2" t="s">
        <v>25</v>
      </c>
      <c r="H11" s="3">
        <f>SUM(D11,D21)</f>
        <v>17500</v>
      </c>
    </row>
    <row r="12">
      <c r="A12" s="2"/>
      <c r="B12" s="2" t="s">
        <v>34</v>
      </c>
      <c r="C12" s="2" t="s">
        <v>24</v>
      </c>
      <c r="D12" s="3">
        <v>3000.0</v>
      </c>
      <c r="E12" s="3">
        <f t="shared" si="3"/>
        <v>4500</v>
      </c>
      <c r="F12" s="2"/>
      <c r="G12" s="2"/>
      <c r="H12" s="1" t="str">
        <f>J11</f>
        <v/>
      </c>
    </row>
    <row r="13">
      <c r="A13" s="2"/>
      <c r="B13" s="2" t="s">
        <v>35</v>
      </c>
      <c r="C13" s="2" t="s">
        <v>14</v>
      </c>
      <c r="D13" s="3">
        <v>3000.0</v>
      </c>
      <c r="E13" s="3">
        <f t="shared" si="3"/>
        <v>4500</v>
      </c>
      <c r="F13" s="2"/>
      <c r="G13" s="2"/>
      <c r="H13" s="2"/>
    </row>
    <row r="14">
      <c r="A14" s="2"/>
      <c r="B14" s="2" t="s">
        <v>36</v>
      </c>
      <c r="C14" s="2" t="s">
        <v>37</v>
      </c>
      <c r="D14" s="3">
        <v>3000.0</v>
      </c>
      <c r="E14" s="3">
        <f t="shared" si="3"/>
        <v>4500</v>
      </c>
      <c r="F14" s="2"/>
      <c r="G14" s="2"/>
      <c r="H14" s="2"/>
    </row>
    <row r="15">
      <c r="A15" s="2"/>
      <c r="B15" s="2" t="s">
        <v>38</v>
      </c>
      <c r="C15" s="2" t="s">
        <v>22</v>
      </c>
      <c r="D15" s="3">
        <v>3000.0</v>
      </c>
      <c r="E15" s="3">
        <f t="shared" si="3"/>
        <v>4500</v>
      </c>
      <c r="F15" s="2"/>
      <c r="G15" s="2"/>
      <c r="H15" s="2"/>
    </row>
    <row r="16">
      <c r="A16" s="2"/>
      <c r="B16" s="2" t="s">
        <v>11</v>
      </c>
      <c r="C16" s="2" t="s">
        <v>20</v>
      </c>
      <c r="D16" s="3">
        <v>3000.0</v>
      </c>
      <c r="E16" s="3">
        <f t="shared" si="3"/>
        <v>4500</v>
      </c>
      <c r="F16" s="2"/>
      <c r="G16" s="2"/>
      <c r="H16" s="2"/>
    </row>
    <row r="17">
      <c r="A17" s="2"/>
      <c r="B17" s="2" t="s">
        <v>21</v>
      </c>
      <c r="C17" s="2" t="s">
        <v>15</v>
      </c>
      <c r="D17" s="3">
        <v>3000.0</v>
      </c>
      <c r="E17" s="3">
        <f t="shared" si="3"/>
        <v>4500</v>
      </c>
      <c r="F17" s="2"/>
      <c r="G17" s="2"/>
      <c r="H17" s="2"/>
    </row>
    <row r="18">
      <c r="A18" s="2"/>
      <c r="B18" s="2" t="s">
        <v>23</v>
      </c>
      <c r="C18" s="2" t="s">
        <v>18</v>
      </c>
      <c r="D18" s="3">
        <v>3000.0</v>
      </c>
      <c r="E18" s="3">
        <f t="shared" si="3"/>
        <v>4500</v>
      </c>
      <c r="F18" s="2"/>
      <c r="G18" s="2"/>
      <c r="H18" s="2"/>
    </row>
    <row r="19">
      <c r="A19" s="2"/>
      <c r="B19" s="2"/>
      <c r="C19" s="2"/>
      <c r="D19" s="3">
        <f>SUM(D11:D18)</f>
        <v>26000</v>
      </c>
      <c r="E19" s="3">
        <f t="shared" si="3"/>
        <v>39000</v>
      </c>
      <c r="F19" s="2"/>
      <c r="G19" s="2"/>
      <c r="H19" s="2"/>
    </row>
    <row r="20">
      <c r="A20" s="2"/>
      <c r="B20" s="2"/>
      <c r="C20" s="2"/>
      <c r="D20" s="3"/>
      <c r="E20" s="3"/>
      <c r="F20" s="2"/>
      <c r="G20" s="2"/>
      <c r="H20" s="2"/>
    </row>
    <row r="21" ht="15.75" customHeight="1">
      <c r="A21" s="2" t="s">
        <v>39</v>
      </c>
      <c r="B21" s="2" t="s">
        <v>40</v>
      </c>
      <c r="C21" s="2" t="s">
        <v>25</v>
      </c>
      <c r="D21" s="3">
        <v>12500.0</v>
      </c>
      <c r="E21" s="3">
        <f>D21*20/100+D21</f>
        <v>15000</v>
      </c>
      <c r="F21" s="2"/>
      <c r="G21" s="2"/>
      <c r="H21" s="2"/>
    </row>
    <row r="22" ht="15.75" customHeight="1">
      <c r="A22" s="2"/>
      <c r="B22" s="2"/>
      <c r="C22" s="2" t="s">
        <v>41</v>
      </c>
      <c r="D22" s="3">
        <f t="shared" ref="D22:E22" si="4">SUM(D5,D7,D9,D19,D21)</f>
        <v>66500</v>
      </c>
      <c r="E22" s="3">
        <f t="shared" si="4"/>
        <v>89700</v>
      </c>
      <c r="F22" s="2"/>
      <c r="G22" s="2"/>
      <c r="H22" s="2"/>
    </row>
    <row r="23" ht="15.75" customHeight="1">
      <c r="A23" s="2"/>
      <c r="B23" s="2"/>
      <c r="C23" s="2" t="s">
        <v>42</v>
      </c>
      <c r="D23" s="3">
        <v>3000.0</v>
      </c>
      <c r="E23" s="3">
        <v>3000.0</v>
      </c>
      <c r="F23" s="2"/>
      <c r="G23" s="2"/>
      <c r="H23" s="2"/>
    </row>
    <row r="24" ht="15.75" customHeight="1">
      <c r="A24" s="2"/>
      <c r="B24" s="2"/>
      <c r="C24" s="2" t="s">
        <v>43</v>
      </c>
      <c r="D24" s="3">
        <f>SUM(D22,D23)</f>
        <v>69500</v>
      </c>
      <c r="E24" s="3">
        <f>SUM(E22:E23)</f>
        <v>92700</v>
      </c>
      <c r="F24" s="2"/>
      <c r="G24" s="2"/>
      <c r="H24" s="2"/>
    </row>
    <row r="25" ht="15.75" customHeight="1">
      <c r="A25" s="2"/>
      <c r="B25" s="2"/>
      <c r="C25" s="2"/>
      <c r="D25" s="3"/>
      <c r="E25" s="3"/>
      <c r="F25" s="2"/>
      <c r="G25" s="2"/>
      <c r="H25" s="2"/>
    </row>
    <row r="26" ht="15.75" customHeight="1">
      <c r="A26" s="1" t="s">
        <v>44</v>
      </c>
      <c r="B26" s="2"/>
      <c r="C26" s="1" t="s">
        <v>45</v>
      </c>
      <c r="D26" s="2"/>
      <c r="E26" s="2"/>
      <c r="F26" s="2"/>
      <c r="G26" s="2"/>
      <c r="H26" s="2"/>
    </row>
    <row r="27" ht="15.75" customHeight="1">
      <c r="A27" s="2" t="s">
        <v>46</v>
      </c>
      <c r="B27" s="3">
        <f>E24-D24</f>
        <v>23200</v>
      </c>
      <c r="C27" s="2"/>
      <c r="D27" s="2"/>
      <c r="E27" s="2"/>
      <c r="F27" s="2"/>
      <c r="G27" s="2"/>
      <c r="H27" s="2"/>
    </row>
    <row r="28" ht="15.75" customHeight="1">
      <c r="A28" s="2" t="s">
        <v>47</v>
      </c>
      <c r="B28" s="3">
        <f>E22*20/100</f>
        <v>17940</v>
      </c>
      <c r="C28" s="2"/>
      <c r="D28" s="2"/>
      <c r="E28" s="2"/>
      <c r="F28" s="2"/>
      <c r="G28" s="2"/>
      <c r="H28" s="2"/>
    </row>
    <row r="29" ht="15.75" customHeight="1">
      <c r="A29" s="2" t="s">
        <v>48</v>
      </c>
      <c r="B29" s="3">
        <f>B31*20/100</f>
        <v>8228</v>
      </c>
      <c r="C29" s="3"/>
      <c r="D29" s="2"/>
      <c r="E29" s="2"/>
      <c r="F29" s="2"/>
      <c r="G29" s="2"/>
      <c r="H29" s="2"/>
    </row>
    <row r="30" ht="15.75" customHeight="1">
      <c r="A30" s="2" t="s">
        <v>49</v>
      </c>
      <c r="B30" s="3">
        <f>B31-B29</f>
        <v>32912</v>
      </c>
      <c r="C30" s="3"/>
      <c r="D30" s="2"/>
      <c r="E30" s="2"/>
      <c r="F30" s="2"/>
      <c r="G30" s="2"/>
      <c r="H30" s="2"/>
    </row>
    <row r="31" ht="15.75" customHeight="1">
      <c r="A31" s="2" t="s">
        <v>50</v>
      </c>
      <c r="B31" s="3">
        <f>SUM(B27:B28)</f>
        <v>41140</v>
      </c>
      <c r="C31" s="3"/>
      <c r="D31" s="2"/>
      <c r="E31" s="2"/>
      <c r="F31" s="2"/>
      <c r="G31" s="2"/>
      <c r="H31" s="2"/>
    </row>
    <row r="32" ht="15.75" customHeight="1">
      <c r="A32" s="2" t="s">
        <v>51</v>
      </c>
      <c r="B32" s="3">
        <f>SUM(E24,B28)</f>
        <v>110640</v>
      </c>
      <c r="C32" s="3"/>
      <c r="D32" s="2"/>
      <c r="E32" s="2"/>
      <c r="F32" s="2"/>
      <c r="G32" s="2"/>
      <c r="H32" s="2"/>
    </row>
    <row r="33" ht="15.75" customHeight="1">
      <c r="A33" s="4" t="s">
        <v>52</v>
      </c>
      <c r="B33" s="3">
        <f>B32*10/100</f>
        <v>11064</v>
      </c>
      <c r="C33" s="2"/>
      <c r="D33" s="2"/>
      <c r="E33" s="2"/>
      <c r="F33" s="2"/>
      <c r="G33" s="2"/>
      <c r="H33" s="2"/>
    </row>
    <row r="34" ht="15.75" customHeight="1">
      <c r="A34" s="2" t="s">
        <v>51</v>
      </c>
      <c r="B34" s="3">
        <f>B32-B33</f>
        <v>99576</v>
      </c>
      <c r="D34" s="2"/>
      <c r="E34" s="2"/>
      <c r="F34" s="2"/>
      <c r="G34" s="2"/>
      <c r="H34" s="2"/>
    </row>
    <row r="35" ht="15.75" customHeight="1">
      <c r="A35" s="2" t="s">
        <v>53</v>
      </c>
      <c r="B35" s="3">
        <f>B34*15/100</f>
        <v>14936.4</v>
      </c>
      <c r="C35" s="3"/>
      <c r="D35" s="2"/>
      <c r="E35" s="2"/>
      <c r="F35" s="2"/>
      <c r="G35" s="2"/>
      <c r="H35" s="2"/>
    </row>
    <row r="36" ht="15.75" customHeight="1">
      <c r="A36" s="2" t="s">
        <v>54</v>
      </c>
      <c r="B36" s="3">
        <f>SUM(B34:B35)</f>
        <v>114512.4</v>
      </c>
      <c r="C36" s="2"/>
      <c r="D36" s="2"/>
      <c r="E36" s="2"/>
      <c r="F36" s="2"/>
      <c r="G36" s="2"/>
      <c r="H36" s="2"/>
    </row>
    <row r="37" ht="15.75" customHeight="1">
      <c r="A37" s="2" t="s">
        <v>55</v>
      </c>
      <c r="B37" s="3">
        <v>66571.2</v>
      </c>
      <c r="C37" s="2"/>
      <c r="D37" s="2"/>
      <c r="E37" s="2"/>
      <c r="F37" s="2"/>
      <c r="G37" s="2"/>
      <c r="H37" s="2"/>
    </row>
    <row r="38" ht="15.75" customHeight="1">
      <c r="A38" s="2" t="s">
        <v>56</v>
      </c>
      <c r="B38" s="3">
        <f>B36-B37</f>
        <v>47941.2</v>
      </c>
      <c r="C38" s="8"/>
      <c r="D38" s="8"/>
      <c r="E38" s="8"/>
      <c r="F38" s="2"/>
      <c r="G38" s="2"/>
      <c r="H38" s="2"/>
    </row>
    <row r="39" ht="15.75" customHeight="1">
      <c r="A39" s="9" t="s">
        <v>29</v>
      </c>
      <c r="B39" s="3">
        <v>8250.0</v>
      </c>
      <c r="C39" s="8"/>
      <c r="D39" s="8"/>
      <c r="E39" s="8"/>
      <c r="F39" s="8"/>
      <c r="G39" s="8"/>
      <c r="H39" s="8"/>
    </row>
    <row r="40" ht="15.75" customHeight="1">
      <c r="A40" s="8"/>
      <c r="B40" s="10">
        <f>SUM(B38:B39)</f>
        <v>56191.2</v>
      </c>
      <c r="C40" s="8"/>
      <c r="D40" s="8"/>
      <c r="E40" s="8"/>
      <c r="F40" s="8"/>
      <c r="G40" s="8"/>
      <c r="H40" s="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2" width="18.0"/>
    <col customWidth="1" min="3" max="3" width="22.86"/>
    <col customWidth="1" min="4" max="4" width="10.14"/>
    <col customWidth="1" min="5" max="5" width="12.14"/>
    <col customWidth="1" min="6" max="6" width="8.71"/>
    <col customWidth="1" min="7" max="7" width="24.29"/>
    <col customWidth="1" min="8" max="8" width="10.14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 t="s">
        <v>1</v>
      </c>
      <c r="H1" s="2"/>
    </row>
    <row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/>
      <c r="G2" s="2" t="s">
        <v>7</v>
      </c>
      <c r="H2" s="3">
        <f>D3</f>
        <v>12000</v>
      </c>
    </row>
    <row r="3">
      <c r="A3" s="2" t="s">
        <v>8</v>
      </c>
      <c r="B3" s="2" t="s">
        <v>9</v>
      </c>
      <c r="C3" s="2" t="s">
        <v>7</v>
      </c>
      <c r="D3" s="3">
        <f>2000*6</f>
        <v>12000</v>
      </c>
      <c r="E3" s="3">
        <f>D3*20/100+D3</f>
        <v>14400</v>
      </c>
      <c r="F3" s="2"/>
      <c r="G3" s="2" t="s">
        <v>13</v>
      </c>
      <c r="H3" s="3">
        <f>D7</f>
        <v>3500</v>
      </c>
    </row>
    <row r="4">
      <c r="A4" s="2"/>
      <c r="B4" s="2" t="s">
        <v>11</v>
      </c>
      <c r="C4" s="1" t="s">
        <v>57</v>
      </c>
      <c r="D4" s="7">
        <v>2500.0</v>
      </c>
      <c r="E4" s="7">
        <v>3600.0</v>
      </c>
      <c r="F4" s="2"/>
      <c r="G4" s="11" t="s">
        <v>58</v>
      </c>
      <c r="H4" s="7">
        <v>3000.0</v>
      </c>
    </row>
    <row r="5">
      <c r="A5" s="2"/>
      <c r="B5" s="2"/>
      <c r="C5" s="2"/>
      <c r="D5" s="3">
        <f t="shared" ref="D5:E5" si="1">SUM(D3:D4)</f>
        <v>14500</v>
      </c>
      <c r="E5" s="3">
        <f t="shared" si="1"/>
        <v>18000</v>
      </c>
      <c r="F5" s="2"/>
      <c r="G5" s="1" t="s">
        <v>59</v>
      </c>
      <c r="H5" s="7">
        <v>3000.0</v>
      </c>
    </row>
    <row r="6">
      <c r="A6" s="2"/>
      <c r="B6" s="2"/>
      <c r="C6" s="2"/>
      <c r="D6" s="3"/>
      <c r="E6" s="3"/>
      <c r="F6" s="2"/>
      <c r="G6" s="2" t="s">
        <v>15</v>
      </c>
      <c r="H6" s="3">
        <f>SUM(D18)</f>
        <v>3000</v>
      </c>
    </row>
    <row r="7">
      <c r="A7" s="2" t="s">
        <v>16</v>
      </c>
      <c r="B7" s="2" t="s">
        <v>17</v>
      </c>
      <c r="C7" s="2" t="s">
        <v>13</v>
      </c>
      <c r="D7" s="7">
        <v>3500.0</v>
      </c>
      <c r="E7" s="7">
        <v>6000.0</v>
      </c>
      <c r="F7" s="2"/>
      <c r="G7" s="2" t="s">
        <v>18</v>
      </c>
      <c r="H7" s="3">
        <f>D19</f>
        <v>3000</v>
      </c>
    </row>
    <row r="8">
      <c r="A8" s="2"/>
      <c r="B8" s="2"/>
      <c r="C8" s="2"/>
      <c r="D8" s="3"/>
      <c r="E8" s="3"/>
      <c r="F8" s="2"/>
      <c r="G8" s="1" t="s">
        <v>60</v>
      </c>
      <c r="H8" s="3">
        <f>SUM(D4,D17)</f>
        <v>5500</v>
      </c>
    </row>
    <row r="9">
      <c r="A9" s="2" t="s">
        <v>31</v>
      </c>
      <c r="B9" s="2" t="s">
        <v>32</v>
      </c>
      <c r="C9" s="1" t="s">
        <v>61</v>
      </c>
      <c r="D9" s="7">
        <v>0.0</v>
      </c>
      <c r="E9" s="7">
        <v>4500.0</v>
      </c>
      <c r="F9" s="2"/>
      <c r="G9" s="2" t="s">
        <v>22</v>
      </c>
      <c r="H9" s="3">
        <f>SUM(D15)</f>
        <v>3000</v>
      </c>
    </row>
    <row r="10">
      <c r="A10" s="2"/>
      <c r="B10" s="2"/>
      <c r="C10" s="2"/>
      <c r="D10" s="3"/>
      <c r="E10" s="3"/>
      <c r="F10" s="2"/>
      <c r="G10" s="2" t="s">
        <v>24</v>
      </c>
      <c r="H10" s="3">
        <f>SUM(D12)</f>
        <v>3000</v>
      </c>
    </row>
    <row r="11">
      <c r="A11" s="2" t="s">
        <v>33</v>
      </c>
      <c r="B11" s="2" t="s">
        <v>34</v>
      </c>
      <c r="C11" s="2" t="s">
        <v>25</v>
      </c>
      <c r="D11" s="3">
        <v>5000.0</v>
      </c>
      <c r="E11" s="3">
        <f t="shared" ref="E11:E12" si="2">D11*50/100+D11</f>
        <v>7500</v>
      </c>
      <c r="F11" s="2"/>
      <c r="G11" s="2" t="s">
        <v>25</v>
      </c>
      <c r="H11" s="3">
        <f>SUM(D11,D22)</f>
        <v>17500</v>
      </c>
    </row>
    <row r="12">
      <c r="A12" s="2"/>
      <c r="B12" s="2" t="s">
        <v>34</v>
      </c>
      <c r="C12" s="2" t="s">
        <v>24</v>
      </c>
      <c r="D12" s="3">
        <v>3000.0</v>
      </c>
      <c r="E12" s="3">
        <f t="shared" si="2"/>
        <v>4500</v>
      </c>
      <c r="F12" s="2"/>
      <c r="G12" s="2"/>
      <c r="H12" s="2"/>
    </row>
    <row r="13">
      <c r="A13" s="2"/>
      <c r="B13" s="1" t="s">
        <v>34</v>
      </c>
      <c r="C13" s="1" t="s">
        <v>62</v>
      </c>
      <c r="D13" s="7">
        <v>5000.0</v>
      </c>
      <c r="E13" s="7">
        <v>7200.0</v>
      </c>
      <c r="F13" s="2"/>
      <c r="G13" s="2"/>
      <c r="H13" s="2"/>
    </row>
    <row r="14">
      <c r="A14" s="2"/>
      <c r="B14" s="2" t="s">
        <v>35</v>
      </c>
      <c r="C14" s="1" t="s">
        <v>59</v>
      </c>
      <c r="D14" s="3">
        <v>3000.0</v>
      </c>
      <c r="E14" s="3">
        <f t="shared" ref="E14:E15" si="3">D14*50/100+D14</f>
        <v>4500</v>
      </c>
      <c r="F14" s="2"/>
      <c r="G14" s="2"/>
      <c r="H14" s="2"/>
    </row>
    <row r="15">
      <c r="A15" s="2"/>
      <c r="B15" s="2" t="s">
        <v>36</v>
      </c>
      <c r="C15" s="1" t="s">
        <v>58</v>
      </c>
      <c r="D15" s="3">
        <v>3000.0</v>
      </c>
      <c r="E15" s="3">
        <f t="shared" si="3"/>
        <v>4500</v>
      </c>
      <c r="F15" s="2"/>
      <c r="G15" s="2"/>
      <c r="H15" s="2"/>
    </row>
    <row r="16">
      <c r="A16" s="2"/>
      <c r="B16" s="2" t="s">
        <v>38</v>
      </c>
      <c r="C16" s="2" t="s">
        <v>22</v>
      </c>
      <c r="D16" s="3">
        <v>3000.0</v>
      </c>
      <c r="E16" s="3">
        <f>D15*50/100+D15</f>
        <v>4500</v>
      </c>
      <c r="F16" s="2"/>
      <c r="G16" s="2"/>
      <c r="H16" s="2"/>
    </row>
    <row r="17">
      <c r="A17" s="2"/>
      <c r="B17" s="2" t="s">
        <v>11</v>
      </c>
      <c r="C17" s="1" t="s">
        <v>57</v>
      </c>
      <c r="D17" s="3">
        <v>3000.0</v>
      </c>
      <c r="E17" s="3">
        <f t="shared" ref="E17:E19" si="4">D17*50/100+D17</f>
        <v>4500</v>
      </c>
      <c r="F17" s="2"/>
      <c r="G17" s="2"/>
      <c r="H17" s="2"/>
    </row>
    <row r="18">
      <c r="A18" s="2"/>
      <c r="B18" s="2" t="s">
        <v>21</v>
      </c>
      <c r="C18" s="2" t="s">
        <v>15</v>
      </c>
      <c r="D18" s="3">
        <v>3000.0</v>
      </c>
      <c r="E18" s="3">
        <f t="shared" si="4"/>
        <v>4500</v>
      </c>
      <c r="F18" s="2"/>
      <c r="G18" s="2"/>
      <c r="H18" s="2"/>
    </row>
    <row r="19">
      <c r="A19" s="2"/>
      <c r="B19" s="2" t="s">
        <v>23</v>
      </c>
      <c r="C19" s="2" t="s">
        <v>18</v>
      </c>
      <c r="D19" s="3">
        <v>3000.0</v>
      </c>
      <c r="E19" s="3">
        <f t="shared" si="4"/>
        <v>4500</v>
      </c>
      <c r="F19" s="2"/>
      <c r="G19" s="2"/>
      <c r="H19" s="2"/>
    </row>
    <row r="20">
      <c r="A20" s="2"/>
      <c r="B20" s="2"/>
      <c r="C20" s="2"/>
      <c r="D20" s="3">
        <f t="shared" ref="D20:E20" si="5">SUM(D11:D19)</f>
        <v>31000</v>
      </c>
      <c r="E20" s="3">
        <f t="shared" si="5"/>
        <v>46200</v>
      </c>
      <c r="F20" s="2"/>
      <c r="G20" s="2"/>
      <c r="H20" s="2"/>
    </row>
    <row r="21">
      <c r="A21" s="2"/>
      <c r="B21" s="2"/>
      <c r="C21" s="2"/>
      <c r="D21" s="3"/>
      <c r="E21" s="3"/>
      <c r="F21" s="2"/>
      <c r="G21" s="2"/>
      <c r="H21" s="2"/>
    </row>
    <row r="22" ht="15.75" customHeight="1">
      <c r="A22" s="2" t="s">
        <v>39</v>
      </c>
      <c r="B22" s="2" t="s">
        <v>40</v>
      </c>
      <c r="C22" s="2" t="s">
        <v>25</v>
      </c>
      <c r="D22" s="3">
        <v>12500.0</v>
      </c>
      <c r="E22" s="3">
        <f>D22*20/100+D22</f>
        <v>15000</v>
      </c>
      <c r="F22" s="2"/>
      <c r="G22" s="2"/>
      <c r="H22" s="2"/>
    </row>
    <row r="23" ht="15.75" customHeight="1">
      <c r="A23" s="2"/>
      <c r="B23" s="2"/>
      <c r="C23" s="2" t="s">
        <v>41</v>
      </c>
      <c r="D23" s="3">
        <f t="shared" ref="D23:E23" si="6">SUM(D5,D7,D9,D20,D22)</f>
        <v>61500</v>
      </c>
      <c r="E23" s="3">
        <f t="shared" si="6"/>
        <v>89700</v>
      </c>
      <c r="F23" s="2"/>
      <c r="G23" s="2"/>
      <c r="H23" s="2"/>
    </row>
    <row r="24" ht="15.75" customHeight="1">
      <c r="A24" s="2"/>
      <c r="B24" s="2"/>
      <c r="C24" s="2" t="s">
        <v>42</v>
      </c>
      <c r="D24" s="3">
        <v>3000.0</v>
      </c>
      <c r="E24" s="3">
        <v>3000.0</v>
      </c>
      <c r="F24" s="2"/>
      <c r="G24" s="2"/>
      <c r="H24" s="2"/>
    </row>
    <row r="25" ht="15.75" customHeight="1">
      <c r="A25" s="2"/>
      <c r="B25" s="2"/>
      <c r="C25" s="2" t="s">
        <v>43</v>
      </c>
      <c r="D25" s="3">
        <f>SUM(D23,D24)</f>
        <v>64500</v>
      </c>
      <c r="E25" s="3">
        <f>SUM(E23:E24)</f>
        <v>92700</v>
      </c>
      <c r="F25" s="2"/>
      <c r="G25" s="2"/>
      <c r="H25" s="2"/>
    </row>
    <row r="26" ht="15.75" customHeight="1">
      <c r="A26" s="2"/>
      <c r="B26" s="2"/>
      <c r="C26" s="2"/>
      <c r="D26" s="3"/>
      <c r="E26" s="3"/>
      <c r="F26" s="2"/>
      <c r="G26" s="2"/>
      <c r="H26" s="2"/>
    </row>
    <row r="27" ht="15.75" customHeight="1">
      <c r="A27" s="1" t="s">
        <v>44</v>
      </c>
      <c r="B27" s="2"/>
      <c r="C27" s="1" t="s">
        <v>45</v>
      </c>
      <c r="D27" s="2"/>
      <c r="E27" s="2"/>
      <c r="F27" s="2"/>
      <c r="G27" s="2"/>
      <c r="H27" s="2"/>
    </row>
    <row r="28" ht="15.75" customHeight="1">
      <c r="A28" s="2" t="s">
        <v>46</v>
      </c>
      <c r="B28" s="3">
        <f>E25-D25</f>
        <v>28200</v>
      </c>
      <c r="C28" s="2"/>
      <c r="D28" s="2"/>
      <c r="E28" s="2"/>
      <c r="F28" s="2"/>
      <c r="G28" s="2"/>
      <c r="H28" s="2"/>
    </row>
    <row r="29" ht="15.75" customHeight="1">
      <c r="A29" s="2" t="s">
        <v>47</v>
      </c>
      <c r="B29" s="3">
        <f>E23*20/100</f>
        <v>17940</v>
      </c>
      <c r="C29" s="2"/>
      <c r="D29" s="2"/>
      <c r="E29" s="2"/>
      <c r="F29" s="2"/>
      <c r="G29" s="2"/>
      <c r="H29" s="2"/>
    </row>
    <row r="30" ht="15.75" customHeight="1">
      <c r="A30" s="2" t="s">
        <v>48</v>
      </c>
      <c r="B30" s="3">
        <f>B32*20/100</f>
        <v>9228</v>
      </c>
      <c r="C30" s="3"/>
      <c r="D30" s="2"/>
      <c r="E30" s="2"/>
      <c r="F30" s="2"/>
      <c r="G30" s="2"/>
      <c r="H30" s="2"/>
    </row>
    <row r="31" ht="15.75" customHeight="1">
      <c r="A31" s="2" t="s">
        <v>49</v>
      </c>
      <c r="B31" s="3">
        <f>B32-B30</f>
        <v>36912</v>
      </c>
      <c r="C31" s="3"/>
      <c r="D31" s="2"/>
      <c r="E31" s="2"/>
      <c r="F31" s="2"/>
      <c r="G31" s="2"/>
      <c r="H31" s="2"/>
    </row>
    <row r="32" ht="15.75" customHeight="1">
      <c r="A32" s="2" t="s">
        <v>50</v>
      </c>
      <c r="B32" s="3">
        <f>SUM(B28:B29)</f>
        <v>46140</v>
      </c>
      <c r="C32" s="3"/>
      <c r="D32" s="2"/>
      <c r="E32" s="2"/>
      <c r="F32" s="2"/>
      <c r="G32" s="2"/>
      <c r="H32" s="2"/>
    </row>
    <row r="33" ht="15.75" customHeight="1">
      <c r="A33" s="2" t="s">
        <v>51</v>
      </c>
      <c r="B33" s="3">
        <f>SUM(E25,B29)</f>
        <v>110640</v>
      </c>
      <c r="C33" s="3"/>
      <c r="D33" s="2"/>
      <c r="E33" s="2"/>
      <c r="F33" s="2"/>
      <c r="G33" s="2"/>
      <c r="H33" s="2"/>
    </row>
    <row r="34" ht="15.75" customHeight="1">
      <c r="A34" s="4" t="s">
        <v>52</v>
      </c>
      <c r="B34" s="3">
        <f>B33*10/100</f>
        <v>11064</v>
      </c>
      <c r="C34" s="2"/>
      <c r="D34" s="2"/>
      <c r="E34" s="2"/>
      <c r="F34" s="2"/>
      <c r="G34" s="2"/>
      <c r="H34" s="2"/>
    </row>
    <row r="35" ht="15.75" customHeight="1">
      <c r="A35" s="2" t="s">
        <v>51</v>
      </c>
      <c r="B35" s="3">
        <f>B33-B34</f>
        <v>99576</v>
      </c>
      <c r="D35" s="2"/>
      <c r="E35" s="2"/>
      <c r="F35" s="2"/>
      <c r="G35" s="2"/>
      <c r="H35" s="2"/>
    </row>
    <row r="36" ht="15.75" customHeight="1">
      <c r="A36" s="2" t="s">
        <v>53</v>
      </c>
      <c r="B36" s="3">
        <f>B35*15/100</f>
        <v>14936.4</v>
      </c>
      <c r="C36" s="3"/>
      <c r="D36" s="2"/>
      <c r="E36" s="2"/>
      <c r="F36" s="2"/>
      <c r="G36" s="2"/>
      <c r="H36" s="2"/>
    </row>
    <row r="37" ht="15.75" customHeight="1">
      <c r="A37" s="2" t="s">
        <v>54</v>
      </c>
      <c r="B37" s="3">
        <f>SUM(B35:B36)</f>
        <v>114512.4</v>
      </c>
      <c r="C37" s="2"/>
      <c r="D37" s="2"/>
      <c r="E37" s="2"/>
      <c r="F37" s="2"/>
      <c r="G37" s="2"/>
      <c r="H37" s="2"/>
    </row>
    <row r="38" ht="15.75" customHeight="1">
      <c r="A38" s="2" t="s">
        <v>55</v>
      </c>
      <c r="B38" s="3">
        <v>66571.2</v>
      </c>
      <c r="C38" s="2"/>
      <c r="D38" s="2"/>
      <c r="E38" s="2"/>
      <c r="F38" s="2"/>
      <c r="G38" s="2"/>
      <c r="H38" s="2"/>
    </row>
    <row r="39" ht="15.75" customHeight="1">
      <c r="A39" s="2" t="s">
        <v>56</v>
      </c>
      <c r="B39" s="3">
        <f>B37-B38</f>
        <v>47941.2</v>
      </c>
      <c r="C39" s="8"/>
      <c r="D39" s="8"/>
      <c r="E39" s="8"/>
      <c r="F39" s="2"/>
      <c r="G39" s="8"/>
      <c r="H39" s="8"/>
    </row>
    <row r="40" ht="15.75" customHeight="1">
      <c r="A40" s="9" t="s">
        <v>29</v>
      </c>
      <c r="B40" s="3">
        <v>8250.0</v>
      </c>
      <c r="C40" s="8"/>
      <c r="D40" s="8"/>
      <c r="E40" s="8"/>
      <c r="F40" s="8"/>
      <c r="G40" s="8"/>
      <c r="H40" s="8"/>
    </row>
    <row r="41" ht="15.75" customHeight="1">
      <c r="A41" s="8"/>
      <c r="B41" s="10">
        <f>SUM(B39:B40)</f>
        <v>56191.2</v>
      </c>
      <c r="C41" s="8"/>
      <c r="D41" s="8"/>
      <c r="E41" s="8"/>
      <c r="F41" s="8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2" width="14.14"/>
    <col customWidth="1" min="3" max="3" width="22.57"/>
    <col customWidth="1" min="4" max="4" width="10.14"/>
    <col customWidth="1" min="5" max="5" width="12.14"/>
    <col customWidth="1" min="6" max="26" width="8.71"/>
  </cols>
  <sheetData>
    <row r="1">
      <c r="A1" s="12" t="s">
        <v>63</v>
      </c>
      <c r="B1" s="13"/>
      <c r="C1" s="13"/>
      <c r="D1" s="13"/>
      <c r="E1" s="13"/>
    </row>
    <row r="2">
      <c r="A2" s="13" t="s">
        <v>64</v>
      </c>
      <c r="B2" s="13" t="s">
        <v>3</v>
      </c>
      <c r="C2" s="13" t="s">
        <v>4</v>
      </c>
      <c r="D2" s="13" t="s">
        <v>65</v>
      </c>
      <c r="E2" s="13" t="s">
        <v>6</v>
      </c>
    </row>
    <row r="3">
      <c r="A3" s="13"/>
      <c r="B3" s="13" t="s">
        <v>32</v>
      </c>
      <c r="C3" s="13" t="s">
        <v>14</v>
      </c>
      <c r="D3" s="14">
        <v>10000.0</v>
      </c>
      <c r="E3" s="14">
        <v>15000.0</v>
      </c>
    </row>
    <row r="4">
      <c r="A4" s="13"/>
      <c r="B4" s="13" t="s">
        <v>32</v>
      </c>
      <c r="C4" s="13" t="s">
        <v>66</v>
      </c>
      <c r="D4" s="14">
        <f>2500*4</f>
        <v>10000</v>
      </c>
      <c r="E4" s="14">
        <f>D4*50/100+D4</f>
        <v>15000</v>
      </c>
    </row>
    <row r="5">
      <c r="A5" s="13"/>
      <c r="B5" s="13"/>
      <c r="C5" s="13" t="s">
        <v>67</v>
      </c>
      <c r="D5" s="14">
        <f t="shared" ref="D5:E5" si="1">SUM(D3:D4)</f>
        <v>20000</v>
      </c>
      <c r="E5" s="14">
        <f t="shared" si="1"/>
        <v>30000</v>
      </c>
    </row>
    <row r="6">
      <c r="A6" s="13"/>
      <c r="B6" s="13"/>
      <c r="C6" s="13" t="s">
        <v>68</v>
      </c>
      <c r="D6" s="14"/>
      <c r="E6" s="14"/>
    </row>
    <row r="7">
      <c r="A7" s="13" t="s">
        <v>46</v>
      </c>
      <c r="B7" s="14">
        <f>E5-D5</f>
        <v>10000</v>
      </c>
      <c r="C7" s="13"/>
      <c r="D7" s="13"/>
      <c r="E7" s="13"/>
    </row>
    <row r="8">
      <c r="A8" s="13" t="s">
        <v>69</v>
      </c>
      <c r="B8" s="14">
        <f>E5*20/100</f>
        <v>6000</v>
      </c>
      <c r="C8" s="13"/>
      <c r="D8" s="13"/>
      <c r="E8" s="13"/>
    </row>
    <row r="9">
      <c r="A9" s="13" t="s">
        <v>50</v>
      </c>
      <c r="B9" s="14">
        <f>SUM(B7:B8)</f>
        <v>16000</v>
      </c>
      <c r="C9" s="14">
        <f>(B9-(B9*10/100))</f>
        <v>14400</v>
      </c>
      <c r="D9" s="13"/>
      <c r="E9" s="13"/>
    </row>
    <row r="10">
      <c r="A10" s="13" t="s">
        <v>70</v>
      </c>
      <c r="B10" s="14">
        <f t="shared" ref="B10:C10" si="2">B9*20/100</f>
        <v>3200</v>
      </c>
      <c r="C10" s="14">
        <f t="shared" si="2"/>
        <v>2880</v>
      </c>
      <c r="D10" s="14">
        <f>SUM(C10,'Budget - 25 March 2022'!C36)</f>
        <v>2880</v>
      </c>
      <c r="E10" s="13"/>
    </row>
    <row r="11">
      <c r="A11" s="13" t="s">
        <v>49</v>
      </c>
      <c r="B11" s="14">
        <f t="shared" ref="B11:C11" si="3">B9-B10</f>
        <v>12800</v>
      </c>
      <c r="C11" s="14">
        <f t="shared" si="3"/>
        <v>11520</v>
      </c>
      <c r="D11" s="13"/>
      <c r="E11" s="13"/>
    </row>
    <row r="12">
      <c r="A12" s="13" t="s">
        <v>51</v>
      </c>
      <c r="B12" s="14">
        <f>SUM(E5,B8)</f>
        <v>36000</v>
      </c>
      <c r="C12" s="13"/>
      <c r="D12" s="13"/>
      <c r="E12" s="13"/>
    </row>
    <row r="13">
      <c r="A13" s="15" t="s">
        <v>52</v>
      </c>
      <c r="B13" s="16">
        <f>B12*10/100</f>
        <v>3600</v>
      </c>
      <c r="C13" s="13"/>
      <c r="D13" s="13"/>
      <c r="E13" s="13"/>
    </row>
    <row r="14">
      <c r="A14" s="13" t="s">
        <v>51</v>
      </c>
      <c r="B14" s="14">
        <f>B12-B13</f>
        <v>32400</v>
      </c>
      <c r="C14" s="13"/>
      <c r="D14" s="13"/>
      <c r="E14" s="13"/>
    </row>
    <row r="15">
      <c r="A15" s="13" t="s">
        <v>53</v>
      </c>
      <c r="B15" s="14">
        <f>B14*15/100</f>
        <v>4860</v>
      </c>
      <c r="C15" s="14">
        <f>B15/2</f>
        <v>2430</v>
      </c>
      <c r="D15" s="13"/>
      <c r="E15" s="13"/>
    </row>
    <row r="16">
      <c r="A16" s="13" t="s">
        <v>54</v>
      </c>
      <c r="B16" s="14">
        <f>SUM(B14:B15)</f>
        <v>37260</v>
      </c>
      <c r="C16" s="14"/>
      <c r="D16" s="13"/>
      <c r="E16" s="13"/>
    </row>
    <row r="17">
      <c r="A17" s="13" t="s">
        <v>55</v>
      </c>
      <c r="B17" s="14">
        <f>B16/2</f>
        <v>18630</v>
      </c>
      <c r="C17" s="13"/>
      <c r="D17" s="13"/>
      <c r="E17" s="13"/>
    </row>
    <row r="18">
      <c r="A18" s="17" t="s">
        <v>56</v>
      </c>
      <c r="B18" s="18">
        <f>B16-B17</f>
        <v>18630</v>
      </c>
      <c r="C18" s="19"/>
      <c r="D18" s="19"/>
      <c r="E18" s="19"/>
    </row>
    <row r="19">
      <c r="A19" s="19"/>
      <c r="B19" s="19"/>
      <c r="C19" s="19"/>
      <c r="D19" s="19"/>
      <c r="E19" s="19"/>
    </row>
    <row r="20">
      <c r="A20" s="19" t="s">
        <v>71</v>
      </c>
      <c r="B20" s="18">
        <f>B17-C9</f>
        <v>4230</v>
      </c>
      <c r="C20" s="19"/>
      <c r="D20" s="19"/>
      <c r="E20" s="19"/>
    </row>
    <row r="21" ht="15.75" customHeight="1">
      <c r="A21" s="19" t="s">
        <v>72</v>
      </c>
      <c r="B21" s="19">
        <f>4860</f>
        <v>4860</v>
      </c>
      <c r="C21" s="19"/>
      <c r="D21" s="19"/>
      <c r="E21" s="1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2" width="14.14"/>
    <col customWidth="1" min="3" max="3" width="22.57"/>
    <col customWidth="1" min="4" max="4" width="10.14"/>
    <col customWidth="1" min="5" max="5" width="12.14"/>
    <col customWidth="1" min="6" max="26" width="8.71"/>
  </cols>
  <sheetData>
    <row r="1">
      <c r="A1" s="12" t="s">
        <v>63</v>
      </c>
      <c r="B1" s="13"/>
      <c r="C1" s="13"/>
      <c r="D1" s="13"/>
      <c r="E1" s="13"/>
    </row>
    <row r="2">
      <c r="A2" s="13" t="s">
        <v>64</v>
      </c>
      <c r="B2" s="13" t="s">
        <v>3</v>
      </c>
      <c r="C2" s="13" t="s">
        <v>4</v>
      </c>
      <c r="D2" s="13" t="s">
        <v>65</v>
      </c>
      <c r="E2" s="13" t="s">
        <v>6</v>
      </c>
    </row>
    <row r="3">
      <c r="A3" s="13"/>
      <c r="B3" s="13" t="s">
        <v>32</v>
      </c>
      <c r="C3" s="13" t="s">
        <v>66</v>
      </c>
      <c r="D3" s="14">
        <f>2500*4</f>
        <v>10000</v>
      </c>
      <c r="E3" s="14">
        <f>D3*50/100+D3</f>
        <v>15000</v>
      </c>
    </row>
    <row r="4">
      <c r="A4" s="13"/>
      <c r="B4" s="13"/>
      <c r="C4" s="13" t="s">
        <v>67</v>
      </c>
      <c r="D4" s="14">
        <f t="shared" ref="D4:E4" si="1">SUM(D3)</f>
        <v>10000</v>
      </c>
      <c r="E4" s="14">
        <f t="shared" si="1"/>
        <v>15000</v>
      </c>
    </row>
    <row r="5">
      <c r="A5" s="13"/>
      <c r="B5" s="13"/>
      <c r="C5" s="13"/>
      <c r="D5" s="14"/>
      <c r="E5" s="14"/>
    </row>
    <row r="6">
      <c r="A6" s="13" t="s">
        <v>46</v>
      </c>
      <c r="B6" s="14">
        <f>E4-D4</f>
        <v>5000</v>
      </c>
      <c r="C6" s="13"/>
      <c r="D6" s="13"/>
      <c r="E6" s="13"/>
    </row>
    <row r="7">
      <c r="A7" s="13" t="s">
        <v>69</v>
      </c>
      <c r="B7" s="14">
        <f>E4*20/100</f>
        <v>3000</v>
      </c>
      <c r="C7" s="13"/>
      <c r="D7" s="13"/>
      <c r="E7" s="13"/>
    </row>
    <row r="8">
      <c r="A8" s="13" t="s">
        <v>50</v>
      </c>
      <c r="B8" s="14">
        <f>SUM(B6:B7)</f>
        <v>8000</v>
      </c>
      <c r="C8" s="14">
        <f>(B8-(B8*10/100))</f>
        <v>7200</v>
      </c>
      <c r="D8" s="13"/>
      <c r="E8" s="13"/>
    </row>
    <row r="9">
      <c r="A9" s="13" t="s">
        <v>70</v>
      </c>
      <c r="B9" s="14">
        <f t="shared" ref="B9:C9" si="2">B8*20/100</f>
        <v>1600</v>
      </c>
      <c r="C9" s="14">
        <f t="shared" si="2"/>
        <v>1440</v>
      </c>
      <c r="D9" s="14">
        <f>SUM(C9,'Budget - 25 March 2022'!C36)</f>
        <v>1440</v>
      </c>
      <c r="E9" s="13"/>
    </row>
    <row r="10">
      <c r="A10" s="13" t="s">
        <v>49</v>
      </c>
      <c r="B10" s="14">
        <f t="shared" ref="B10:C10" si="3">B8-B9</f>
        <v>6400</v>
      </c>
      <c r="C10" s="14">
        <f t="shared" si="3"/>
        <v>5760</v>
      </c>
      <c r="D10" s="13"/>
      <c r="E10" s="13"/>
    </row>
    <row r="11">
      <c r="A11" s="13" t="s">
        <v>51</v>
      </c>
      <c r="B11" s="14">
        <f>SUM(E4,B7)</f>
        <v>18000</v>
      </c>
      <c r="C11" s="13"/>
      <c r="D11" s="13"/>
      <c r="E11" s="13"/>
    </row>
    <row r="12">
      <c r="A12" s="15" t="s">
        <v>52</v>
      </c>
      <c r="B12" s="16">
        <f>B11*10/100</f>
        <v>1800</v>
      </c>
      <c r="C12" s="13"/>
      <c r="D12" s="13"/>
      <c r="E12" s="13"/>
    </row>
    <row r="13">
      <c r="A13" s="13" t="s">
        <v>51</v>
      </c>
      <c r="B13" s="14">
        <f>B11-B12</f>
        <v>16200</v>
      </c>
      <c r="C13" s="13"/>
      <c r="D13" s="13"/>
      <c r="E13" s="13"/>
    </row>
    <row r="14">
      <c r="A14" s="13" t="s">
        <v>53</v>
      </c>
      <c r="B14" s="14">
        <f>B13*15/100</f>
        <v>2430</v>
      </c>
      <c r="C14" s="14">
        <f>B14/2</f>
        <v>1215</v>
      </c>
      <c r="D14" s="13"/>
      <c r="E14" s="13"/>
    </row>
    <row r="15">
      <c r="A15" s="13" t="s">
        <v>54</v>
      </c>
      <c r="B15" s="14">
        <f>SUM(B13:B14)</f>
        <v>18630</v>
      </c>
      <c r="C15" s="14"/>
      <c r="D15" s="13"/>
      <c r="E15" s="13"/>
    </row>
    <row r="16">
      <c r="A16" s="13" t="s">
        <v>55</v>
      </c>
      <c r="B16" s="14">
        <v>18630.0</v>
      </c>
      <c r="C16" s="13"/>
      <c r="D16" s="13"/>
      <c r="E16" s="13"/>
    </row>
    <row r="17">
      <c r="A17" s="17" t="s">
        <v>56</v>
      </c>
      <c r="B17" s="18">
        <f>B15-B16</f>
        <v>0</v>
      </c>
      <c r="C17" s="19"/>
      <c r="D17" s="19"/>
      <c r="E17" s="19"/>
    </row>
    <row r="18">
      <c r="A18" s="20" t="s">
        <v>73</v>
      </c>
      <c r="B18" s="14">
        <f>B16/2</f>
        <v>9315</v>
      </c>
      <c r="C18" s="19"/>
      <c r="D18" s="19"/>
      <c r="E18" s="19"/>
    </row>
    <row r="19">
      <c r="A19" s="19" t="s">
        <v>71</v>
      </c>
      <c r="B19" s="18">
        <f>B16-C8</f>
        <v>11430</v>
      </c>
      <c r="C19" s="19"/>
      <c r="D19" s="19"/>
      <c r="E19" s="19"/>
    </row>
    <row r="20" ht="15.75" customHeight="1">
      <c r="A20" s="19"/>
      <c r="B20" s="19"/>
      <c r="C20" s="19"/>
      <c r="D20" s="19"/>
      <c r="E20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2020-03-31T10:21:26Z</dcterms:created>
  <dc:creator>Daniela Marano</dc:creator>
</cp:coreProperties>
</file>