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final budget - 16 Janau" sheetId="1" r:id="rId4"/>
    <sheet state="visible" name="Finalised budget - 16 Janaury 2" sheetId="2" r:id="rId5"/>
    <sheet state="visible" name="Budget - Excluding big band" sheetId="3" r:id="rId6"/>
    <sheet state="visible" name="Rev budget - excl. big band" sheetId="4" r:id="rId7"/>
    <sheet state="visible" name="Budget - Big band" sheetId="5" r:id="rId8"/>
  </sheets>
  <definedNames/>
  <calcPr/>
  <extLst>
    <ext uri="GoogleSheetsCustomDataVersion1">
      <go:sheetsCustomData xmlns:go="http://customooxmlschemas.google.com/" r:id="rId9" roundtripDataSignature="AMtx7mitot1zwWCZx4R+yh0gLO/ZE7C5Tg=="/>
    </ext>
  </extLst>
</workbook>
</file>

<file path=xl/sharedStrings.xml><?xml version="1.0" encoding="utf-8"?>
<sst xmlns="http://schemas.openxmlformats.org/spreadsheetml/2006/main" count="493" uniqueCount="91">
  <si>
    <t>Budget - 14 March 2021</t>
  </si>
  <si>
    <t xml:space="preserve">Individiual Musician Rates </t>
  </si>
  <si>
    <t>Paid</t>
  </si>
  <si>
    <t>Balance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</si>
  <si>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</si>
  <si>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</si>
  <si>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</si>
  <si>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</si>
  <si>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</si>
  <si>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Rus Nerwich </t>
  </si>
  <si>
    <t xml:space="preserve">Chuppah </t>
  </si>
  <si>
    <t xml:space="preserve">Chazzan </t>
  </si>
  <si>
    <t xml:space="preserve">Richard Gore </t>
  </si>
  <si>
    <t xml:space="preserve">Nathan Ambach </t>
  </si>
  <si>
    <t xml:space="preserve">Keys </t>
  </si>
  <si>
    <t xml:space="preserve">TBC </t>
  </si>
  <si>
    <t xml:space="preserve">Jodi Frederiks </t>
  </si>
  <si>
    <t xml:space="preserve">Choir singers </t>
  </si>
  <si>
    <t xml:space="preserve">Blake Hellaby </t>
  </si>
  <si>
    <t xml:space="preserve">Subtotal </t>
  </si>
  <si>
    <t xml:space="preserve">Wesley Rustin </t>
  </si>
  <si>
    <t xml:space="preserve">Bradley Prince </t>
  </si>
  <si>
    <t xml:space="preserve">String quartet </t>
  </si>
  <si>
    <t xml:space="preserve">Palm Springs </t>
  </si>
  <si>
    <t xml:space="preserve">Kevin Gibson </t>
  </si>
  <si>
    <t xml:space="preserve">Georgia Jones </t>
  </si>
  <si>
    <t xml:space="preserve">Pre-drinks: Option one </t>
  </si>
  <si>
    <t xml:space="preserve">DJ </t>
  </si>
  <si>
    <t xml:space="preserve">Marc De Kock </t>
  </si>
  <si>
    <t xml:space="preserve">Saxophone </t>
  </si>
  <si>
    <t>Zeke Le Grange</t>
  </si>
  <si>
    <t xml:space="preserve">Trumpet </t>
  </si>
  <si>
    <t>Marco Maritz</t>
  </si>
  <si>
    <t xml:space="preserve">Shaw  Komori </t>
  </si>
  <si>
    <t xml:space="preserve">Horahs: Option two </t>
  </si>
  <si>
    <t xml:space="preserve">Vocals </t>
  </si>
  <si>
    <t xml:space="preserve">Strings </t>
  </si>
  <si>
    <t xml:space="preserve">Total </t>
  </si>
  <si>
    <t>Keys</t>
  </si>
  <si>
    <t>Blake Hellaby</t>
  </si>
  <si>
    <t>Dani Marano</t>
  </si>
  <si>
    <t xml:space="preserve">Bass </t>
  </si>
  <si>
    <t xml:space="preserve">Arrangements - Marco Maritz </t>
  </si>
  <si>
    <t>Drums</t>
  </si>
  <si>
    <t xml:space="preserve">Total expense </t>
  </si>
  <si>
    <t>Balance of payment</t>
  </si>
  <si>
    <t xml:space="preserve">Dinner and Dance </t>
  </si>
  <si>
    <t>Baritone Saxophone</t>
  </si>
  <si>
    <t>Saxophone 2</t>
  </si>
  <si>
    <t>Saxophone 3</t>
  </si>
  <si>
    <t xml:space="preserve">Guitar </t>
  </si>
  <si>
    <t xml:space="preserve">Benching </t>
  </si>
  <si>
    <t>N/A</t>
  </si>
  <si>
    <t>Party</t>
  </si>
  <si>
    <t xml:space="preserve">Total musician expense </t>
  </si>
  <si>
    <t xml:space="preserve">Coordination </t>
  </si>
  <si>
    <t xml:space="preserve">Arrangements </t>
  </si>
  <si>
    <t xml:space="preserve">Built in commission </t>
  </si>
  <si>
    <t>Booking fee - 20%</t>
  </si>
  <si>
    <t xml:space="preserve">Total commission </t>
  </si>
  <si>
    <t xml:space="preserve">Dani commisson </t>
  </si>
  <si>
    <t xml:space="preserve">TON commission </t>
  </si>
  <si>
    <t xml:space="preserve">Total excluding VAT </t>
  </si>
  <si>
    <t xml:space="preserve">1st deposit payment </t>
  </si>
  <si>
    <t>Balance of payment excl. VAT</t>
  </si>
  <si>
    <t xml:space="preserve">Nicholas Williams </t>
  </si>
  <si>
    <t xml:space="preserve">Nick Green </t>
  </si>
  <si>
    <t xml:space="preserve">Francesca Biancoli </t>
  </si>
  <si>
    <t xml:space="preserve">Vocalist - TBC </t>
  </si>
  <si>
    <t xml:space="preserve">Angelo Syster </t>
  </si>
  <si>
    <t xml:space="preserve">Lee Thomson </t>
  </si>
  <si>
    <t>Lee Thomson</t>
  </si>
  <si>
    <t xml:space="preserve">Marco Maritz </t>
  </si>
  <si>
    <t xml:space="preserve">Saxophone 2 </t>
  </si>
  <si>
    <t xml:space="preserve">Saxophone 3 </t>
  </si>
  <si>
    <t xml:space="preserve">Trombone </t>
  </si>
  <si>
    <t xml:space="preserve">Andrew Ford </t>
  </si>
  <si>
    <t xml:space="preserve">Carla Louw </t>
  </si>
  <si>
    <t xml:space="preserve">Michael Bester </t>
  </si>
  <si>
    <t xml:space="preserve">POPS </t>
  </si>
  <si>
    <t xml:space="preserve">Horahs: Option one </t>
  </si>
  <si>
    <t xml:space="preserve">Drums </t>
  </si>
  <si>
    <t xml:space="preserve">Dinner: Option one </t>
  </si>
  <si>
    <t xml:space="preserve">N/A </t>
  </si>
  <si>
    <t>Dance</t>
  </si>
  <si>
    <t>Bass</t>
  </si>
  <si>
    <t xml:space="preserve">VAT </t>
  </si>
  <si>
    <t xml:space="preserve">Total including VAT </t>
  </si>
  <si>
    <t xml:space="preserve">Lana Crowster </t>
  </si>
  <si>
    <t xml:space="preserve">Jono Prest </t>
  </si>
  <si>
    <t>Rus Nerwich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</si>
</sst>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sz val="11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5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Font="1"/>
    <xf borderId="1" fillId="0" fontId="6" numFmtId="0" xfId="0" applyBorder="1" applyFont="1"/>
    <xf borderId="5" fillId="0" fontId="3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6.0"/>
    <col customWidth="1" min="3" max="3" width="19.75"/>
    <col customWidth="1" min="4" max="4" width="7.63"/>
    <col customWidth="1" min="5" max="5" width="10.63"/>
    <col customWidth="1" min="6" max="6" width="7.63"/>
    <col customWidth="1" min="7" max="7" width="21.75"/>
    <col customWidth="1" min="8" max="23" width="7.63"/>
  </cols>
  <sheetData>
    <row r="1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4" t="s">
        <v>2</v>
      </c>
      <c r="J1" s="4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>
        <f>Sum(D10,D11)</f>
        <v>8500</v>
      </c>
      <c r="I2" s="4">
        <v>0.0</v>
      </c>
      <c r="J2" s="5">
        <f t="shared" ref="J2:J17" si="1">H2-I2</f>
        <v>8500</v>
      </c>
    </row>
    <row r="3">
      <c r="A3" s="1" t="s">
        <v>10</v>
      </c>
      <c r="B3" s="1" t="s">
        <v>11</v>
      </c>
      <c r="C3" s="1" t="s">
        <v>12</v>
      </c>
      <c r="D3" s="1">
        <v>26000.0</v>
      </c>
      <c r="E3" s="1">
        <v>26000.0</v>
      </c>
      <c r="F3" s="1"/>
      <c r="G3" s="1" t="s">
        <v>13</v>
      </c>
      <c r="H3" s="1">
        <f>SUM(D15,D23,D40)</f>
        <v>17500</v>
      </c>
      <c r="I3" s="4">
        <v>0.0</v>
      </c>
      <c r="J3" s="5">
        <f t="shared" si="1"/>
        <v>17500</v>
      </c>
    </row>
    <row r="4">
      <c r="A4" s="1"/>
      <c r="B4" s="1" t="s">
        <v>14</v>
      </c>
      <c r="C4" s="1" t="s">
        <v>15</v>
      </c>
      <c r="D4" s="1"/>
      <c r="E4" s="1"/>
      <c r="F4" s="1"/>
      <c r="G4" s="6" t="s">
        <v>16</v>
      </c>
      <c r="H4" s="1">
        <f>D24</f>
        <v>4000</v>
      </c>
      <c r="I4" s="4">
        <v>0.0</v>
      </c>
      <c r="J4" s="5">
        <f t="shared" si="1"/>
        <v>4000</v>
      </c>
    </row>
    <row r="5">
      <c r="A5" s="1"/>
      <c r="B5" s="1" t="s">
        <v>17</v>
      </c>
      <c r="C5" s="1" t="s">
        <v>15</v>
      </c>
      <c r="D5" s="1">
        <f>2500*2</f>
        <v>5000</v>
      </c>
      <c r="E5" s="1">
        <f>5000</f>
        <v>5000</v>
      </c>
      <c r="F5" s="1"/>
      <c r="G5" s="6" t="s">
        <v>18</v>
      </c>
      <c r="H5" s="1">
        <f>SUM(D18,D31)</f>
        <v>5000</v>
      </c>
      <c r="I5" s="4">
        <v>0.0</v>
      </c>
      <c r="J5" s="5">
        <f t="shared" si="1"/>
        <v>5000</v>
      </c>
    </row>
    <row r="6">
      <c r="A6" s="1"/>
      <c r="B6" s="1"/>
      <c r="C6" s="1" t="s">
        <v>19</v>
      </c>
      <c r="D6" s="7">
        <f t="shared" ref="D6:E6" si="2">SUM(D3:D5)</f>
        <v>31000</v>
      </c>
      <c r="E6" s="7">
        <f t="shared" si="2"/>
        <v>31000</v>
      </c>
      <c r="F6" s="1"/>
      <c r="G6" s="8" t="s">
        <v>20</v>
      </c>
      <c r="H6" s="1">
        <f>SuM(D19,D32)</f>
        <v>5000</v>
      </c>
      <c r="I6" s="4">
        <v>0.0</v>
      </c>
      <c r="J6" s="5">
        <f t="shared" si="1"/>
        <v>5000</v>
      </c>
    </row>
    <row r="7">
      <c r="A7" s="1"/>
      <c r="B7" s="1"/>
      <c r="C7" s="1"/>
      <c r="D7" s="1"/>
      <c r="E7" s="1"/>
      <c r="F7" s="1"/>
      <c r="G7" s="9" t="s">
        <v>21</v>
      </c>
      <c r="H7" s="6">
        <f>D30</f>
        <v>4000</v>
      </c>
      <c r="I7" s="4">
        <v>0.0</v>
      </c>
      <c r="J7" s="5">
        <f t="shared" si="1"/>
        <v>4000</v>
      </c>
    </row>
    <row r="8">
      <c r="A8" s="1"/>
      <c r="B8" s="6" t="s">
        <v>22</v>
      </c>
      <c r="C8" s="6" t="s">
        <v>23</v>
      </c>
      <c r="D8" s="6">
        <f>3000*4</f>
        <v>12000</v>
      </c>
      <c r="E8" s="6">
        <f>D8*50/100+D8</f>
        <v>18000</v>
      </c>
      <c r="F8" s="1"/>
      <c r="G8" s="1" t="s">
        <v>24</v>
      </c>
      <c r="H8" s="1">
        <f>SUM(D20,D33)</f>
        <v>5000</v>
      </c>
      <c r="I8" s="4">
        <v>0.0</v>
      </c>
      <c r="J8" s="5">
        <f t="shared" si="1"/>
        <v>5000</v>
      </c>
    </row>
    <row r="9">
      <c r="A9" s="1"/>
      <c r="B9" s="1"/>
      <c r="C9" s="1"/>
      <c r="D9" s="1"/>
      <c r="E9" s="1"/>
      <c r="F9" s="1"/>
      <c r="G9" s="6" t="s">
        <v>25</v>
      </c>
      <c r="H9" s="5">
        <f t="shared" ref="H9:H10" si="3">SUM(D25)</f>
        <v>4000</v>
      </c>
      <c r="I9" s="4">
        <v>0.0</v>
      </c>
      <c r="J9" s="5">
        <f t="shared" si="1"/>
        <v>4000</v>
      </c>
    </row>
    <row r="10">
      <c r="A10" s="1" t="s">
        <v>26</v>
      </c>
      <c r="B10" s="1" t="s">
        <v>27</v>
      </c>
      <c r="C10" s="1" t="s">
        <v>9</v>
      </c>
      <c r="D10" s="6">
        <v>5100.0</v>
      </c>
      <c r="E10" s="6">
        <v>5100.0</v>
      </c>
      <c r="F10" s="1"/>
      <c r="G10" s="6" t="s">
        <v>28</v>
      </c>
      <c r="H10" s="1">
        <f t="shared" si="3"/>
        <v>4000</v>
      </c>
      <c r="I10" s="4">
        <v>0.0</v>
      </c>
      <c r="J10" s="5">
        <f t="shared" si="1"/>
        <v>4000</v>
      </c>
    </row>
    <row r="11">
      <c r="A11" s="1"/>
      <c r="B11" s="1" t="s">
        <v>29</v>
      </c>
      <c r="C11" s="1" t="s">
        <v>9</v>
      </c>
      <c r="D11" s="6">
        <v>3400.0</v>
      </c>
      <c r="E11" s="6">
        <v>3400.0</v>
      </c>
      <c r="F11" s="1"/>
      <c r="G11" s="6" t="s">
        <v>30</v>
      </c>
      <c r="H11" s="1">
        <f>SUM(D16,D27)</f>
        <v>5000</v>
      </c>
      <c r="I11" s="4">
        <v>0.0</v>
      </c>
      <c r="J11" s="5">
        <f t="shared" si="1"/>
        <v>5000</v>
      </c>
    </row>
    <row r="12">
      <c r="A12" s="1"/>
      <c r="B12" s="1" t="s">
        <v>31</v>
      </c>
      <c r="C12" s="1" t="s">
        <v>32</v>
      </c>
      <c r="D12" s="1">
        <v>1000.0</v>
      </c>
      <c r="E12" s="1">
        <f>D12*50/100+D12</f>
        <v>1500</v>
      </c>
      <c r="F12" s="1"/>
      <c r="G12" s="1" t="s">
        <v>32</v>
      </c>
      <c r="H12" s="1">
        <f>SUM(D12,D17,D28)</f>
        <v>6000</v>
      </c>
      <c r="I12" s="4">
        <v>0.0</v>
      </c>
      <c r="J12" s="5">
        <f t="shared" si="1"/>
        <v>6000</v>
      </c>
    </row>
    <row r="13">
      <c r="A13" s="1"/>
      <c r="B13" s="1"/>
      <c r="C13" s="1"/>
      <c r="D13" s="7">
        <f t="shared" ref="D13:E13" si="4">SUM(D10:D12)</f>
        <v>9500</v>
      </c>
      <c r="E13" s="7">
        <f t="shared" si="4"/>
        <v>10000</v>
      </c>
      <c r="F13" s="1"/>
      <c r="G13" s="6" t="s">
        <v>33</v>
      </c>
      <c r="H13" s="1">
        <f>SUM(D29)</f>
        <v>4000</v>
      </c>
      <c r="I13" s="4">
        <v>0.0</v>
      </c>
      <c r="J13" s="5">
        <f t="shared" si="1"/>
        <v>4000</v>
      </c>
    </row>
    <row r="14">
      <c r="A14" s="1"/>
      <c r="B14" s="1"/>
      <c r="C14" s="1"/>
      <c r="D14" s="1"/>
      <c r="E14" s="1"/>
      <c r="F14" s="1"/>
      <c r="G14" s="1" t="s">
        <v>12</v>
      </c>
      <c r="H14" s="1">
        <f>SUM(D3:D4)</f>
        <v>26000</v>
      </c>
      <c r="I14" s="4">
        <v>26000.0</v>
      </c>
      <c r="J14" s="5">
        <f t="shared" si="1"/>
        <v>0</v>
      </c>
    </row>
    <row r="15">
      <c r="A15" s="1" t="s">
        <v>34</v>
      </c>
      <c r="B15" s="1" t="s">
        <v>35</v>
      </c>
      <c r="C15" s="1" t="s">
        <v>13</v>
      </c>
      <c r="D15" s="1">
        <v>2500.0</v>
      </c>
      <c r="E15" s="10">
        <f t="shared" ref="E15:E16" si="5">D15*50/100+D15</f>
        <v>3750</v>
      </c>
      <c r="F15" s="1"/>
      <c r="G15" s="4" t="s">
        <v>36</v>
      </c>
      <c r="H15" s="4">
        <v>12000.0</v>
      </c>
      <c r="I15" s="4">
        <v>0.0</v>
      </c>
      <c r="J15" s="5">
        <f t="shared" si="1"/>
        <v>12000</v>
      </c>
    </row>
    <row r="16">
      <c r="A16" s="1"/>
      <c r="B16" s="1" t="s">
        <v>29</v>
      </c>
      <c r="C16" s="6" t="s">
        <v>30</v>
      </c>
      <c r="D16" s="1">
        <v>1000.0</v>
      </c>
      <c r="E16" s="10">
        <f t="shared" si="5"/>
        <v>1500</v>
      </c>
      <c r="F16" s="1"/>
      <c r="G16" s="4" t="s">
        <v>17</v>
      </c>
      <c r="H16" s="4">
        <v>5000.0</v>
      </c>
      <c r="I16" s="4">
        <v>5000.0</v>
      </c>
      <c r="J16" s="5">
        <f t="shared" si="1"/>
        <v>0</v>
      </c>
    </row>
    <row r="17">
      <c r="A17" s="1"/>
      <c r="B17" s="1" t="s">
        <v>31</v>
      </c>
      <c r="C17" s="1" t="s">
        <v>32</v>
      </c>
      <c r="D17" s="1">
        <v>1000.0</v>
      </c>
      <c r="E17" s="10">
        <v>1500.0</v>
      </c>
      <c r="F17" s="1"/>
      <c r="G17" s="11" t="s">
        <v>37</v>
      </c>
      <c r="H17" s="12">
        <f t="shared" ref="H17:I17" si="6">SUM(H2:H16)</f>
        <v>115000</v>
      </c>
      <c r="I17" s="4">
        <f t="shared" si="6"/>
        <v>31000</v>
      </c>
      <c r="J17" s="5">
        <f t="shared" si="1"/>
        <v>84000</v>
      </c>
    </row>
    <row r="18">
      <c r="A18" s="1"/>
      <c r="B18" s="1" t="s">
        <v>38</v>
      </c>
      <c r="C18" s="6" t="s">
        <v>39</v>
      </c>
      <c r="D18" s="1">
        <v>1000.0</v>
      </c>
      <c r="E18" s="10">
        <v>1500.0</v>
      </c>
      <c r="F18" s="1"/>
      <c r="G18" s="4" t="s">
        <v>40</v>
      </c>
      <c r="H18" s="5">
        <f>SUM(D42,B48)</f>
        <v>23200</v>
      </c>
      <c r="I18" s="4"/>
      <c r="J18" s="4">
        <v>23200.0</v>
      </c>
    </row>
    <row r="19">
      <c r="A19" s="1"/>
      <c r="B19" s="1" t="s">
        <v>41</v>
      </c>
      <c r="C19" s="8" t="s">
        <v>20</v>
      </c>
      <c r="D19" s="1">
        <v>1000.0</v>
      </c>
      <c r="E19" s="10">
        <v>1500.0</v>
      </c>
      <c r="F19" s="1"/>
      <c r="G19" s="6" t="s">
        <v>42</v>
      </c>
      <c r="H19" s="6">
        <v>6000.0</v>
      </c>
      <c r="I19" s="5"/>
      <c r="J19" s="4">
        <v>6000.0</v>
      </c>
    </row>
    <row r="20">
      <c r="A20" s="1"/>
      <c r="B20" s="1" t="s">
        <v>43</v>
      </c>
      <c r="C20" s="1" t="s">
        <v>24</v>
      </c>
      <c r="D20" s="1">
        <v>1000.0</v>
      </c>
      <c r="E20" s="10">
        <v>1500.0</v>
      </c>
      <c r="F20" s="1"/>
      <c r="G20" s="6" t="s">
        <v>44</v>
      </c>
      <c r="H20" s="1">
        <f>SUM(H17:H19)</f>
        <v>144200</v>
      </c>
      <c r="I20" s="5"/>
      <c r="J20" s="5">
        <f>SUM(J17:J19)</f>
        <v>113200</v>
      </c>
    </row>
    <row r="21">
      <c r="A21" s="1"/>
      <c r="B21" s="1"/>
      <c r="C21" s="1"/>
      <c r="D21" s="7">
        <f t="shared" ref="D21:E21" si="7">SUM(D15:D20)</f>
        <v>7500</v>
      </c>
      <c r="E21" s="13">
        <f t="shared" si="7"/>
        <v>11250</v>
      </c>
      <c r="F21" s="1"/>
      <c r="G21" s="6" t="s">
        <v>45</v>
      </c>
      <c r="H21" s="6">
        <v>164400.0</v>
      </c>
      <c r="I21" s="5"/>
      <c r="J21" s="6">
        <v>121935.0</v>
      </c>
    </row>
    <row r="22">
      <c r="A22" s="1"/>
      <c r="F22" s="1"/>
      <c r="H22" s="14"/>
      <c r="I22" s="1"/>
      <c r="J22" s="1">
        <f>J21-J20</f>
        <v>8735</v>
      </c>
    </row>
    <row r="23">
      <c r="A23" s="1" t="s">
        <v>46</v>
      </c>
      <c r="B23" s="1" t="s">
        <v>35</v>
      </c>
      <c r="C23" s="1" t="s">
        <v>13</v>
      </c>
      <c r="D23" s="1">
        <v>5000.0</v>
      </c>
      <c r="E23" s="1">
        <f t="shared" ref="E23:E33" si="8">D23*30/100+D23</f>
        <v>6500</v>
      </c>
      <c r="F23" s="1"/>
      <c r="G23" s="6"/>
      <c r="H23" s="1"/>
      <c r="I23" s="5"/>
      <c r="J23" s="5"/>
    </row>
    <row r="24">
      <c r="A24" s="1"/>
      <c r="B24" s="6" t="s">
        <v>35</v>
      </c>
      <c r="C24" s="6" t="s">
        <v>16</v>
      </c>
      <c r="D24" s="6">
        <v>4000.0</v>
      </c>
      <c r="E24" s="1">
        <f t="shared" si="8"/>
        <v>5200</v>
      </c>
      <c r="F24" s="1"/>
      <c r="G24" s="5"/>
      <c r="H24" s="5"/>
      <c r="I24" s="5"/>
      <c r="J24" s="5"/>
    </row>
    <row r="25" ht="15.75" customHeight="1">
      <c r="A25" s="1"/>
      <c r="B25" s="6" t="s">
        <v>47</v>
      </c>
      <c r="C25" s="6" t="s">
        <v>25</v>
      </c>
      <c r="D25" s="6">
        <v>4000.0</v>
      </c>
      <c r="E25" s="1">
        <f t="shared" si="8"/>
        <v>5200</v>
      </c>
      <c r="F25" s="1"/>
      <c r="G25" s="1"/>
      <c r="H25" s="1"/>
      <c r="I25" s="5"/>
      <c r="J25" s="5"/>
    </row>
    <row r="26" ht="15.75" customHeight="1">
      <c r="A26" s="1"/>
      <c r="B26" s="1" t="s">
        <v>48</v>
      </c>
      <c r="C26" s="6" t="s">
        <v>28</v>
      </c>
      <c r="D26" s="6">
        <v>4000.0</v>
      </c>
      <c r="E26" s="1">
        <f t="shared" si="8"/>
        <v>5200</v>
      </c>
      <c r="F26" s="1"/>
      <c r="G26" s="1"/>
      <c r="H26" s="1"/>
      <c r="I26" s="5"/>
      <c r="J26" s="5"/>
    </row>
    <row r="27" ht="15.75" customHeight="1">
      <c r="A27" s="1"/>
      <c r="B27" s="1" t="s">
        <v>49</v>
      </c>
      <c r="C27" s="6" t="s">
        <v>30</v>
      </c>
      <c r="D27" s="6">
        <v>4000.0</v>
      </c>
      <c r="E27" s="1">
        <f t="shared" si="8"/>
        <v>5200</v>
      </c>
      <c r="F27" s="1"/>
      <c r="G27" s="1"/>
      <c r="H27" s="1"/>
      <c r="I27" s="5"/>
      <c r="J27" s="5"/>
    </row>
    <row r="28" ht="15.75" customHeight="1">
      <c r="A28" s="1"/>
      <c r="B28" s="1" t="s">
        <v>31</v>
      </c>
      <c r="C28" s="1" t="s">
        <v>32</v>
      </c>
      <c r="D28" s="6">
        <v>4000.0</v>
      </c>
      <c r="E28" s="1">
        <f t="shared" si="8"/>
        <v>5200</v>
      </c>
      <c r="F28" s="1"/>
      <c r="G28" s="1"/>
      <c r="H28" s="1"/>
      <c r="I28" s="5"/>
      <c r="J28" s="5"/>
    </row>
    <row r="29" ht="15.75" customHeight="1">
      <c r="A29" s="1"/>
      <c r="B29" s="1" t="s">
        <v>31</v>
      </c>
      <c r="C29" s="6" t="s">
        <v>33</v>
      </c>
      <c r="D29" s="6">
        <v>4000.0</v>
      </c>
      <c r="E29" s="1">
        <f t="shared" si="8"/>
        <v>5200</v>
      </c>
      <c r="F29" s="1"/>
      <c r="G29" s="1"/>
      <c r="H29" s="1"/>
      <c r="I29" s="5"/>
      <c r="J29" s="5"/>
    </row>
    <row r="30" ht="15.75" customHeight="1">
      <c r="A30" s="1"/>
      <c r="B30" s="1" t="s">
        <v>50</v>
      </c>
      <c r="C30" s="6" t="s">
        <v>21</v>
      </c>
      <c r="D30" s="6">
        <v>4000.0</v>
      </c>
      <c r="E30" s="1">
        <f t="shared" si="8"/>
        <v>5200</v>
      </c>
      <c r="F30" s="1"/>
      <c r="G30" s="1"/>
      <c r="H30" s="1"/>
      <c r="I30" s="5"/>
      <c r="J30" s="5"/>
    </row>
    <row r="31" ht="15.75" customHeight="1">
      <c r="A31" s="1"/>
      <c r="B31" s="1" t="s">
        <v>38</v>
      </c>
      <c r="C31" s="6" t="s">
        <v>18</v>
      </c>
      <c r="D31" s="6">
        <v>4000.0</v>
      </c>
      <c r="E31" s="1">
        <f t="shared" si="8"/>
        <v>5200</v>
      </c>
      <c r="F31" s="1"/>
      <c r="G31" s="1"/>
      <c r="H31" s="1"/>
      <c r="I31" s="5"/>
      <c r="J31" s="5"/>
    </row>
    <row r="32" ht="15.75" customHeight="1">
      <c r="A32" s="1"/>
      <c r="B32" s="1" t="s">
        <v>41</v>
      </c>
      <c r="C32" s="6" t="s">
        <v>20</v>
      </c>
      <c r="D32" s="6">
        <v>4000.0</v>
      </c>
      <c r="E32" s="1">
        <f t="shared" si="8"/>
        <v>5200</v>
      </c>
      <c r="F32" s="1"/>
      <c r="G32" s="1"/>
      <c r="H32" s="1"/>
      <c r="I32" s="5"/>
      <c r="J32" s="5"/>
    </row>
    <row r="33" ht="15.75" customHeight="1">
      <c r="A33" s="1"/>
      <c r="B33" s="1" t="s">
        <v>43</v>
      </c>
      <c r="C33" s="1" t="s">
        <v>24</v>
      </c>
      <c r="D33" s="6">
        <v>4000.0</v>
      </c>
      <c r="E33" s="1">
        <f t="shared" si="8"/>
        <v>5200</v>
      </c>
      <c r="F33" s="1"/>
      <c r="G33" s="1"/>
      <c r="H33" s="1"/>
      <c r="I33" s="5"/>
      <c r="J33" s="5"/>
    </row>
    <row r="34" ht="15.75" customHeight="1">
      <c r="A34" s="1"/>
      <c r="B34" s="1"/>
      <c r="C34" s="1"/>
      <c r="D34" s="7">
        <f t="shared" ref="D34:E34" si="9">SUM(D23:D33)</f>
        <v>45000</v>
      </c>
      <c r="E34" s="7">
        <f t="shared" si="9"/>
        <v>58500</v>
      </c>
      <c r="F34" s="1"/>
      <c r="G34" s="1"/>
      <c r="H34" s="1"/>
      <c r="I34" s="5"/>
      <c r="J34" s="5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5"/>
      <c r="J35" s="5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5"/>
      <c r="J36" s="5"/>
    </row>
    <row r="37" ht="15.75" customHeight="1">
      <c r="A37" s="1" t="s">
        <v>51</v>
      </c>
      <c r="B37" s="1" t="s">
        <v>35</v>
      </c>
      <c r="C37" s="1" t="s">
        <v>12</v>
      </c>
      <c r="D37" s="1" t="s">
        <v>52</v>
      </c>
      <c r="E37" s="1" t="s">
        <v>52</v>
      </c>
      <c r="F37" s="1"/>
      <c r="G37" s="1"/>
      <c r="H37" s="1"/>
      <c r="I37" s="5"/>
      <c r="J37" s="5"/>
    </row>
    <row r="38" ht="15.75" customHeight="1">
      <c r="A38" s="1"/>
      <c r="B38" s="1" t="s">
        <v>14</v>
      </c>
      <c r="C38" s="1" t="s">
        <v>15</v>
      </c>
      <c r="D38" s="1"/>
      <c r="E38" s="1"/>
      <c r="F38" s="1"/>
      <c r="G38" s="1"/>
      <c r="H38" s="1"/>
      <c r="I38" s="5"/>
      <c r="J38" s="5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5"/>
      <c r="J39" s="5"/>
    </row>
    <row r="40" ht="15.75" customHeight="1">
      <c r="A40" s="1" t="s">
        <v>53</v>
      </c>
      <c r="B40" s="1" t="s">
        <v>27</v>
      </c>
      <c r="C40" s="1" t="s">
        <v>13</v>
      </c>
      <c r="D40" s="7">
        <v>10000.0</v>
      </c>
      <c r="E40" s="7">
        <f>D40*20/100+D40</f>
        <v>12000</v>
      </c>
      <c r="F40" s="1"/>
      <c r="G40" s="1"/>
      <c r="H40" s="1"/>
      <c r="I40" s="5"/>
      <c r="J40" s="5"/>
    </row>
    <row r="41" ht="15.75" customHeight="1">
      <c r="A41" s="1"/>
      <c r="B41" s="1"/>
      <c r="C41" s="1" t="s">
        <v>54</v>
      </c>
      <c r="D41" s="1">
        <f>SUM(D6,D8,D13,D21,D34,D40)</f>
        <v>115000</v>
      </c>
      <c r="E41" s="1">
        <f>SUM(E6,E8,E13,E34,E40)</f>
        <v>129500</v>
      </c>
      <c r="F41" s="1"/>
      <c r="G41" s="1"/>
      <c r="H41" s="1"/>
      <c r="I41" s="5"/>
      <c r="J41" s="5"/>
    </row>
    <row r="42" ht="15.75" customHeight="1">
      <c r="A42" s="1"/>
      <c r="B42" s="1"/>
      <c r="C42" s="1" t="s">
        <v>55</v>
      </c>
      <c r="D42" s="1">
        <v>3000.0</v>
      </c>
      <c r="E42" s="1">
        <v>3000.0</v>
      </c>
      <c r="F42" s="1"/>
      <c r="G42" s="1"/>
      <c r="H42" s="1"/>
      <c r="I42" s="5"/>
      <c r="J42" s="5"/>
    </row>
    <row r="43" ht="15.75" customHeight="1">
      <c r="A43" s="1"/>
      <c r="B43" s="1"/>
      <c r="C43" s="1" t="s">
        <v>56</v>
      </c>
      <c r="D43" s="1">
        <v>6000.0</v>
      </c>
      <c r="E43" s="1">
        <v>6000.0</v>
      </c>
      <c r="F43" s="1"/>
      <c r="G43" s="1"/>
      <c r="H43" s="1"/>
      <c r="I43" s="5"/>
      <c r="J43" s="5"/>
    </row>
    <row r="44" ht="15.75" customHeight="1">
      <c r="A44" s="1"/>
      <c r="B44" s="1"/>
      <c r="C44" s="1" t="s">
        <v>44</v>
      </c>
      <c r="D44" s="1">
        <f t="shared" ref="D44:E44" si="10">SUM(D41:D43)</f>
        <v>124000</v>
      </c>
      <c r="E44" s="1">
        <f t="shared" si="10"/>
        <v>138500</v>
      </c>
      <c r="F44" s="1"/>
      <c r="G44" s="1"/>
      <c r="H44" s="1"/>
      <c r="I44" s="5"/>
      <c r="J44" s="5"/>
    </row>
    <row r="45" ht="15.75" customHeight="1">
      <c r="A45" s="1" t="s">
        <v>57</v>
      </c>
      <c r="B45" s="1">
        <f>E44-D44</f>
        <v>14500</v>
      </c>
      <c r="C45" s="1"/>
      <c r="D45" s="1"/>
      <c r="E45" s="1"/>
      <c r="F45" s="1"/>
      <c r="G45" s="1"/>
      <c r="H45" s="1"/>
      <c r="I45" s="5"/>
      <c r="J45" s="5"/>
    </row>
    <row r="46" ht="15.75" customHeight="1">
      <c r="A46" s="1" t="s">
        <v>58</v>
      </c>
      <c r="B46" s="1">
        <f>E41*20/100</f>
        <v>25900</v>
      </c>
      <c r="C46" s="1"/>
      <c r="D46" s="1"/>
      <c r="E46" s="1"/>
      <c r="F46" s="1"/>
      <c r="G46" s="1"/>
      <c r="H46" s="1"/>
      <c r="I46" s="5"/>
      <c r="J46" s="5"/>
    </row>
    <row r="47" ht="15.75" customHeight="1">
      <c r="A47" s="1" t="s">
        <v>59</v>
      </c>
      <c r="B47" s="1">
        <f>SUM(B45:B46)</f>
        <v>40400</v>
      </c>
      <c r="C47" s="1"/>
      <c r="D47" s="1"/>
      <c r="E47" s="1"/>
      <c r="F47" s="1"/>
      <c r="G47" s="1"/>
      <c r="H47" s="1"/>
      <c r="I47" s="5"/>
      <c r="J47" s="5"/>
    </row>
    <row r="48" ht="15.75" customHeight="1">
      <c r="A48" s="1" t="s">
        <v>60</v>
      </c>
      <c r="B48" s="1">
        <f>B47*50/100</f>
        <v>20200</v>
      </c>
      <c r="C48" s="1"/>
      <c r="D48" s="1"/>
      <c r="E48" s="1"/>
      <c r="F48" s="1"/>
      <c r="G48" s="1"/>
      <c r="H48" s="1"/>
      <c r="I48" s="5"/>
      <c r="J48" s="5"/>
    </row>
    <row r="49" ht="15.75" customHeight="1">
      <c r="A49" s="1" t="s">
        <v>61</v>
      </c>
      <c r="B49" s="1">
        <f>B47-B48</f>
        <v>20200</v>
      </c>
      <c r="C49" s="1"/>
      <c r="D49" s="1"/>
      <c r="E49" s="1"/>
      <c r="F49" s="1"/>
      <c r="G49" s="1"/>
      <c r="H49" s="1"/>
      <c r="I49" s="5"/>
      <c r="J49" s="5"/>
    </row>
    <row r="50" ht="15.75" customHeight="1">
      <c r="A50" s="1" t="s">
        <v>62</v>
      </c>
      <c r="B50" s="1">
        <f>SUM(E44,B46)</f>
        <v>164400</v>
      </c>
      <c r="C50" s="1"/>
      <c r="D50" s="1"/>
      <c r="E50" s="1"/>
      <c r="F50" s="1"/>
      <c r="G50" s="1"/>
      <c r="H50" s="1"/>
      <c r="I50" s="5"/>
      <c r="J50" s="5"/>
    </row>
    <row r="51" ht="15.75" customHeight="1">
      <c r="A51" s="6" t="s">
        <v>63</v>
      </c>
      <c r="B51" s="6">
        <v>42465.0</v>
      </c>
      <c r="C51" s="1"/>
      <c r="D51" s="1"/>
      <c r="E51" s="1"/>
      <c r="F51" s="1"/>
      <c r="G51" s="5"/>
      <c r="H51" s="5"/>
      <c r="I51" s="5"/>
      <c r="J51" s="5"/>
    </row>
    <row r="52" ht="15.75" customHeight="1">
      <c r="A52" s="6" t="s">
        <v>64</v>
      </c>
      <c r="B52" s="6">
        <f>B50-B51</f>
        <v>121935</v>
      </c>
      <c r="C52" s="1"/>
      <c r="D52" s="1"/>
      <c r="E52" s="1"/>
      <c r="F52" s="1"/>
      <c r="G52" s="5"/>
      <c r="H52" s="5"/>
      <c r="I52" s="5"/>
      <c r="J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G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2.38"/>
    <col customWidth="1" min="3" max="3" width="19.75"/>
    <col customWidth="1" min="4" max="4" width="7.63"/>
    <col customWidth="1" min="5" max="5" width="10.63"/>
    <col customWidth="1" min="6" max="6" width="7.63"/>
    <col customWidth="1" min="7" max="7" width="21.75"/>
    <col customWidth="1" min="8" max="26" width="7.63"/>
  </cols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>
        <f>SUM(D10,D11,D19)</f>
        <v>6000</v>
      </c>
    </row>
    <row r="3">
      <c r="A3" s="1" t="s">
        <v>10</v>
      </c>
      <c r="B3" s="1" t="s">
        <v>11</v>
      </c>
      <c r="C3" s="1" t="s">
        <v>12</v>
      </c>
      <c r="D3" s="1">
        <v>26000.0</v>
      </c>
      <c r="E3" s="1">
        <v>26000.0</v>
      </c>
      <c r="F3" s="1"/>
      <c r="G3" s="6" t="s">
        <v>18</v>
      </c>
      <c r="H3" s="1">
        <f t="shared" ref="H3:H5" si="1">SUM(D25,D41)</f>
        <v>5000</v>
      </c>
    </row>
    <row r="4">
      <c r="A4" s="1"/>
      <c r="B4" s="1" t="s">
        <v>14</v>
      </c>
      <c r="C4" s="1" t="s">
        <v>15</v>
      </c>
      <c r="D4" s="1"/>
      <c r="E4" s="1"/>
      <c r="F4" s="1"/>
      <c r="G4" s="1" t="s">
        <v>65</v>
      </c>
      <c r="H4" s="1">
        <f t="shared" si="1"/>
        <v>5000</v>
      </c>
    </row>
    <row r="5">
      <c r="A5" s="1"/>
      <c r="B5" s="1" t="s">
        <v>17</v>
      </c>
      <c r="C5" s="1" t="s">
        <v>15</v>
      </c>
      <c r="D5" s="1">
        <f>2500*2</f>
        <v>5000</v>
      </c>
      <c r="E5" s="1">
        <f>5000</f>
        <v>5000</v>
      </c>
      <c r="F5" s="1"/>
      <c r="G5" s="1" t="s">
        <v>24</v>
      </c>
      <c r="H5" s="1">
        <f t="shared" si="1"/>
        <v>4500</v>
      </c>
    </row>
    <row r="6">
      <c r="A6" s="1"/>
      <c r="B6" s="1"/>
      <c r="C6" s="1" t="s">
        <v>19</v>
      </c>
      <c r="D6" s="7">
        <f t="shared" ref="D6:E6" si="2">SUM(D3:D5)</f>
        <v>31000</v>
      </c>
      <c r="E6" s="7">
        <f t="shared" si="2"/>
        <v>31000</v>
      </c>
      <c r="F6" s="1"/>
      <c r="G6" s="1" t="s">
        <v>66</v>
      </c>
      <c r="H6" s="1">
        <f>SUM(D21,D34)</f>
        <v>5000</v>
      </c>
    </row>
    <row r="7">
      <c r="A7" s="1"/>
      <c r="B7" s="1"/>
      <c r="C7" s="1"/>
      <c r="D7" s="1"/>
      <c r="E7" s="1"/>
      <c r="F7" s="1"/>
      <c r="G7" s="1" t="s">
        <v>13</v>
      </c>
      <c r="H7" s="1">
        <f>SUM(D15,D31,D51)</f>
        <v>17500</v>
      </c>
    </row>
    <row r="8">
      <c r="A8" s="1"/>
      <c r="B8" s="6" t="s">
        <v>22</v>
      </c>
      <c r="C8" s="6" t="s">
        <v>23</v>
      </c>
      <c r="D8" s="1">
        <f>3500*4</f>
        <v>14000</v>
      </c>
      <c r="E8" s="6">
        <v>18000.0</v>
      </c>
      <c r="F8" s="1"/>
      <c r="G8" s="1" t="s">
        <v>67</v>
      </c>
      <c r="H8" s="1">
        <f>SUM(D33)</f>
        <v>4000</v>
      </c>
    </row>
    <row r="9">
      <c r="A9" s="1"/>
      <c r="B9" s="1"/>
      <c r="C9" s="1"/>
      <c r="D9" s="1"/>
      <c r="E9" s="1"/>
      <c r="F9" s="1"/>
      <c r="G9" s="6" t="s">
        <v>68</v>
      </c>
      <c r="H9" s="1">
        <f>SUM(D32)</f>
        <v>4000</v>
      </c>
    </row>
    <row r="10">
      <c r="A10" s="1" t="s">
        <v>26</v>
      </c>
      <c r="B10" s="1" t="s">
        <v>27</v>
      </c>
      <c r="C10" s="1" t="s">
        <v>9</v>
      </c>
      <c r="D10" s="1">
        <v>3000.0</v>
      </c>
      <c r="E10" s="1">
        <f t="shared" ref="E10:E11" si="3">D10*70/100+D10</f>
        <v>5100</v>
      </c>
      <c r="F10" s="1"/>
      <c r="G10" s="1" t="s">
        <v>69</v>
      </c>
      <c r="H10" s="6">
        <v>4000.0</v>
      </c>
    </row>
    <row r="11">
      <c r="A11" s="1"/>
      <c r="B11" s="1" t="s">
        <v>29</v>
      </c>
      <c r="C11" s="1" t="s">
        <v>9</v>
      </c>
      <c r="D11" s="1">
        <v>2000.0</v>
      </c>
      <c r="E11" s="1">
        <f t="shared" si="3"/>
        <v>3400</v>
      </c>
      <c r="F11" s="1"/>
      <c r="G11" s="1" t="s">
        <v>70</v>
      </c>
      <c r="H11" s="1">
        <f>SUM(D12,D20,D39)</f>
        <v>6000</v>
      </c>
    </row>
    <row r="12">
      <c r="A12" s="1"/>
      <c r="B12" s="1" t="s">
        <v>31</v>
      </c>
      <c r="C12" s="1" t="s">
        <v>71</v>
      </c>
      <c r="D12" s="1">
        <v>1000.0</v>
      </c>
      <c r="E12" s="1">
        <f>D12*50/100+D12</f>
        <v>1500</v>
      </c>
      <c r="F12" s="1"/>
      <c r="G12" s="1" t="s">
        <v>72</v>
      </c>
      <c r="H12" s="1">
        <f>SUM(D24,D38,5000)</f>
        <v>10000</v>
      </c>
    </row>
    <row r="13">
      <c r="A13" s="1"/>
      <c r="B13" s="1"/>
      <c r="C13" s="1"/>
      <c r="D13" s="7">
        <f t="shared" ref="D13:E13" si="4">SUM(D10:D12)</f>
        <v>6000</v>
      </c>
      <c r="E13" s="7">
        <f t="shared" si="4"/>
        <v>10000</v>
      </c>
      <c r="F13" s="1"/>
      <c r="G13" s="1" t="s">
        <v>73</v>
      </c>
      <c r="H13" s="1">
        <f t="shared" ref="H13:H14" si="5">SUM(D22,D36)</f>
        <v>5000</v>
      </c>
    </row>
    <row r="14">
      <c r="A14" s="1"/>
      <c r="B14" s="1"/>
      <c r="C14" s="1"/>
      <c r="D14" s="1"/>
      <c r="E14" s="1"/>
      <c r="F14" s="1"/>
      <c r="G14" s="1" t="s">
        <v>74</v>
      </c>
      <c r="H14" s="1">
        <f t="shared" si="5"/>
        <v>5000</v>
      </c>
    </row>
    <row r="15">
      <c r="A15" s="1" t="s">
        <v>34</v>
      </c>
      <c r="B15" s="1" t="s">
        <v>35</v>
      </c>
      <c r="C15" s="1" t="s">
        <v>13</v>
      </c>
      <c r="D15" s="1">
        <v>2500.0</v>
      </c>
      <c r="E15" s="10">
        <f>D15*50/100+D15</f>
        <v>3750</v>
      </c>
      <c r="F15" s="1"/>
      <c r="G15" s="1" t="s">
        <v>12</v>
      </c>
      <c r="H15" s="1">
        <f>SUM(D3:D4)</f>
        <v>26000</v>
      </c>
    </row>
    <row r="16">
      <c r="A16" s="1"/>
      <c r="B16" s="1"/>
      <c r="C16" s="1"/>
      <c r="D16" s="1"/>
      <c r="E16" s="10"/>
      <c r="F16" s="1"/>
      <c r="G16" s="4" t="s">
        <v>36</v>
      </c>
      <c r="H16" s="4">
        <v>12000.0</v>
      </c>
    </row>
    <row r="17">
      <c r="A17" s="1"/>
      <c r="B17" s="1"/>
      <c r="C17" s="1"/>
      <c r="D17" s="1"/>
      <c r="E17" s="10"/>
      <c r="F17" s="1"/>
      <c r="G17" s="4" t="s">
        <v>17</v>
      </c>
      <c r="H17" s="4">
        <v>5000.0</v>
      </c>
    </row>
    <row r="18">
      <c r="A18" s="1"/>
      <c r="B18" s="1"/>
      <c r="C18" s="1"/>
      <c r="D18" s="1"/>
      <c r="E18" s="10"/>
      <c r="F18" s="1"/>
      <c r="G18" s="4" t="s">
        <v>40</v>
      </c>
      <c r="H18" s="5">
        <f>SUM(D53,B59)</f>
        <v>10172</v>
      </c>
    </row>
    <row r="19">
      <c r="A19" s="1"/>
      <c r="B19" s="1" t="s">
        <v>29</v>
      </c>
      <c r="C19" s="1" t="s">
        <v>9</v>
      </c>
      <c r="D19" s="1">
        <v>1000.0</v>
      </c>
      <c r="E19" s="10">
        <f>D19*50/100+D19</f>
        <v>1500</v>
      </c>
      <c r="F19" s="1"/>
      <c r="G19" s="5"/>
      <c r="H19" s="5">
        <f>SUM(H3:H18)</f>
        <v>128172</v>
      </c>
    </row>
    <row r="20">
      <c r="A20" s="1"/>
      <c r="B20" s="1" t="s">
        <v>31</v>
      </c>
      <c r="C20" s="1" t="s">
        <v>70</v>
      </c>
      <c r="D20" s="1">
        <v>1000.0</v>
      </c>
      <c r="E20" s="10">
        <v>1500.0</v>
      </c>
      <c r="F20" s="1"/>
      <c r="G20" s="1"/>
      <c r="H20" s="1">
        <f>B63-H19</f>
        <v>-777</v>
      </c>
    </row>
    <row r="21">
      <c r="A21" s="1"/>
      <c r="B21" s="1" t="s">
        <v>75</v>
      </c>
      <c r="C21" s="1" t="s">
        <v>66</v>
      </c>
      <c r="D21" s="1">
        <v>1000.0</v>
      </c>
      <c r="E21" s="10">
        <v>1500.0</v>
      </c>
      <c r="F21" s="1"/>
      <c r="G21" s="1"/>
      <c r="H21" s="1"/>
    </row>
    <row r="22">
      <c r="A22" s="1"/>
      <c r="B22" s="1" t="s">
        <v>48</v>
      </c>
      <c r="C22" s="1" t="s">
        <v>15</v>
      </c>
      <c r="D22" s="1">
        <v>1000.0</v>
      </c>
      <c r="E22" s="10">
        <v>1500.0</v>
      </c>
      <c r="F22" s="1"/>
      <c r="G22" s="1"/>
      <c r="H22" s="1"/>
    </row>
    <row r="23">
      <c r="A23" s="1"/>
      <c r="B23" s="1" t="s">
        <v>49</v>
      </c>
      <c r="C23" s="1" t="s">
        <v>15</v>
      </c>
      <c r="D23" s="1">
        <v>1000.0</v>
      </c>
      <c r="E23" s="10">
        <v>1500.0</v>
      </c>
      <c r="F23" s="1"/>
      <c r="G23" s="1"/>
      <c r="H23" s="1"/>
    </row>
    <row r="24">
      <c r="A24" s="1"/>
      <c r="B24" s="1" t="s">
        <v>31</v>
      </c>
      <c r="C24" s="1" t="s">
        <v>32</v>
      </c>
      <c r="D24" s="1">
        <v>1000.0</v>
      </c>
      <c r="E24" s="10">
        <v>1500.0</v>
      </c>
      <c r="F24" s="1"/>
      <c r="G24" s="1"/>
      <c r="H24" s="1"/>
    </row>
    <row r="25" ht="15.75" customHeight="1">
      <c r="A25" s="1"/>
      <c r="B25" s="1" t="s">
        <v>38</v>
      </c>
      <c r="C25" s="1" t="s">
        <v>76</v>
      </c>
      <c r="D25" s="1">
        <v>1000.0</v>
      </c>
      <c r="E25" s="10">
        <v>1500.0</v>
      </c>
      <c r="F25" s="1"/>
      <c r="G25" s="1"/>
      <c r="H25" s="1"/>
    </row>
    <row r="26" ht="15.75" customHeight="1">
      <c r="A26" s="1"/>
      <c r="B26" s="1" t="s">
        <v>41</v>
      </c>
      <c r="C26" s="1" t="s">
        <v>65</v>
      </c>
      <c r="D26" s="1">
        <v>1000.0</v>
      </c>
      <c r="E26" s="10">
        <v>1500.0</v>
      </c>
      <c r="F26" s="1"/>
      <c r="G26" s="5"/>
      <c r="H26" s="5"/>
    </row>
    <row r="27" ht="15.75" customHeight="1">
      <c r="A27" s="1"/>
      <c r="B27" s="1" t="s">
        <v>43</v>
      </c>
      <c r="C27" s="1" t="s">
        <v>24</v>
      </c>
      <c r="D27" s="1">
        <v>1000.0</v>
      </c>
      <c r="E27" s="10">
        <v>1500.0</v>
      </c>
      <c r="F27" s="1"/>
      <c r="G27" s="1"/>
      <c r="H27" s="1"/>
    </row>
    <row r="28" ht="15.75" customHeight="1">
      <c r="A28" s="1"/>
      <c r="B28" s="1"/>
      <c r="C28" s="1"/>
      <c r="D28" s="7">
        <f t="shared" ref="D28:E28" si="6">SUM(D15:D27)</f>
        <v>11500</v>
      </c>
      <c r="E28" s="13">
        <f t="shared" si="6"/>
        <v>17250</v>
      </c>
      <c r="F28" s="1"/>
      <c r="G28" s="1"/>
      <c r="H28" s="1"/>
    </row>
    <row r="29" ht="15.75" customHeight="1">
      <c r="A29" s="1"/>
      <c r="B29" s="1"/>
      <c r="C29" s="1"/>
      <c r="D29" s="7"/>
      <c r="E29" s="7"/>
      <c r="F29" s="1"/>
      <c r="G29" s="1"/>
      <c r="H29" s="1"/>
    </row>
    <row r="30" ht="15.75" customHeight="1">
      <c r="A30" s="1"/>
      <c r="B30" s="1"/>
      <c r="C30" s="1"/>
      <c r="D30" s="7"/>
      <c r="E30" s="7"/>
      <c r="F30" s="1"/>
      <c r="G30" s="1"/>
      <c r="H30" s="1"/>
    </row>
    <row r="31" ht="15.75" customHeight="1">
      <c r="A31" s="1" t="s">
        <v>46</v>
      </c>
      <c r="B31" s="1" t="s">
        <v>35</v>
      </c>
      <c r="C31" s="1" t="s">
        <v>13</v>
      </c>
      <c r="D31" s="1">
        <v>5000.0</v>
      </c>
      <c r="E31" s="1">
        <v>6500.0</v>
      </c>
      <c r="F31" s="1"/>
      <c r="G31" s="1"/>
      <c r="H31" s="1"/>
    </row>
    <row r="32" ht="15.75" customHeight="1">
      <c r="A32" s="1"/>
      <c r="B32" s="1" t="s">
        <v>35</v>
      </c>
      <c r="C32" s="6" t="s">
        <v>77</v>
      </c>
      <c r="D32" s="1">
        <v>4000.0</v>
      </c>
      <c r="E32" s="15">
        <v>5200.0</v>
      </c>
      <c r="F32" s="1"/>
      <c r="G32" s="1"/>
      <c r="H32" s="1"/>
    </row>
    <row r="33" ht="15.75" customHeight="1">
      <c r="A33" s="1"/>
      <c r="B33" s="1" t="s">
        <v>35</v>
      </c>
      <c r="C33" s="1" t="s">
        <v>67</v>
      </c>
      <c r="D33" s="1">
        <v>4000.0</v>
      </c>
      <c r="E33" s="15">
        <v>5200.0</v>
      </c>
      <c r="F33" s="1"/>
      <c r="G33" s="1"/>
      <c r="H33" s="1"/>
    </row>
    <row r="34" ht="15.75" customHeight="1">
      <c r="A34" s="1"/>
      <c r="B34" s="1" t="s">
        <v>75</v>
      </c>
      <c r="C34" s="1" t="s">
        <v>66</v>
      </c>
      <c r="D34" s="6">
        <v>4000.0</v>
      </c>
      <c r="E34" s="15">
        <v>4550.0</v>
      </c>
      <c r="F34" s="1"/>
      <c r="G34" s="1"/>
      <c r="H34" s="1"/>
    </row>
    <row r="35" ht="15.75" customHeight="1">
      <c r="A35" s="1"/>
      <c r="B35" s="1" t="s">
        <v>29</v>
      </c>
      <c r="C35" s="6" t="s">
        <v>25</v>
      </c>
      <c r="D35" s="6">
        <v>4000.0</v>
      </c>
      <c r="E35" s="15">
        <v>4550.0</v>
      </c>
      <c r="F35" s="1"/>
      <c r="G35" s="1"/>
      <c r="H35" s="1"/>
    </row>
    <row r="36" ht="15.75" customHeight="1">
      <c r="A36" s="1"/>
      <c r="B36" s="1" t="s">
        <v>48</v>
      </c>
      <c r="C36" s="6" t="s">
        <v>28</v>
      </c>
      <c r="D36" s="6">
        <v>4000.0</v>
      </c>
      <c r="E36" s="15">
        <v>4550.0</v>
      </c>
      <c r="F36" s="1"/>
      <c r="G36" s="1"/>
      <c r="H36" s="1"/>
    </row>
    <row r="37" ht="15.75" customHeight="1">
      <c r="A37" s="1"/>
      <c r="B37" s="1" t="s">
        <v>49</v>
      </c>
      <c r="C37" s="6" t="s">
        <v>30</v>
      </c>
      <c r="D37" s="6">
        <v>4000.0</v>
      </c>
      <c r="E37" s="15">
        <v>4550.0</v>
      </c>
      <c r="F37" s="1"/>
      <c r="G37" s="1"/>
      <c r="H37" s="1"/>
    </row>
    <row r="38" ht="15.75" customHeight="1">
      <c r="A38" s="1"/>
      <c r="B38" s="1" t="s">
        <v>31</v>
      </c>
      <c r="C38" s="1" t="s">
        <v>32</v>
      </c>
      <c r="D38" s="6">
        <v>4000.0</v>
      </c>
      <c r="E38" s="15">
        <v>4550.0</v>
      </c>
      <c r="F38" s="1"/>
      <c r="G38" s="1"/>
      <c r="H38" s="1"/>
    </row>
    <row r="39" ht="15.75" customHeight="1">
      <c r="A39" s="1"/>
      <c r="B39" s="1" t="s">
        <v>31</v>
      </c>
      <c r="C39" s="6" t="s">
        <v>33</v>
      </c>
      <c r="D39" s="6">
        <v>4000.0</v>
      </c>
      <c r="E39" s="15">
        <v>4550.0</v>
      </c>
      <c r="F39" s="1"/>
      <c r="G39" s="1"/>
      <c r="H39" s="1"/>
    </row>
    <row r="40" ht="15.75" customHeight="1">
      <c r="A40" s="1"/>
      <c r="B40" s="1" t="s">
        <v>50</v>
      </c>
      <c r="C40" s="6" t="s">
        <v>78</v>
      </c>
      <c r="D40" s="6">
        <v>4000.0</v>
      </c>
      <c r="E40" s="15">
        <v>5200.0</v>
      </c>
      <c r="F40" s="1"/>
      <c r="G40" s="1"/>
      <c r="H40" s="1"/>
    </row>
    <row r="41" ht="15.75" customHeight="1">
      <c r="A41" s="1"/>
      <c r="B41" s="1" t="s">
        <v>38</v>
      </c>
      <c r="C41" s="6" t="s">
        <v>18</v>
      </c>
      <c r="D41" s="6">
        <v>4000.0</v>
      </c>
      <c r="E41" s="15">
        <v>4550.0</v>
      </c>
      <c r="F41" s="1"/>
      <c r="G41" s="1"/>
      <c r="H41" s="1"/>
    </row>
    <row r="42" ht="15.75" customHeight="1">
      <c r="A42" s="1"/>
      <c r="B42" s="1" t="s">
        <v>41</v>
      </c>
      <c r="C42" s="6" t="s">
        <v>20</v>
      </c>
      <c r="D42" s="6">
        <v>4000.0</v>
      </c>
      <c r="E42" s="15">
        <v>4550.0</v>
      </c>
      <c r="F42" s="1"/>
      <c r="G42" s="1"/>
      <c r="H42" s="1"/>
    </row>
    <row r="43" ht="15.75" customHeight="1">
      <c r="A43" s="1"/>
      <c r="B43" s="1" t="s">
        <v>43</v>
      </c>
      <c r="C43" s="1" t="s">
        <v>24</v>
      </c>
      <c r="D43" s="1">
        <v>3500.0</v>
      </c>
      <c r="E43" s="15">
        <v>4550.0</v>
      </c>
      <c r="F43" s="1"/>
      <c r="G43" s="1"/>
      <c r="H43" s="1"/>
    </row>
    <row r="44" ht="15.75" customHeight="1">
      <c r="A44" s="1"/>
      <c r="B44" s="1"/>
      <c r="C44" s="1"/>
      <c r="D44" s="7">
        <f t="shared" ref="D44:E44" si="7">SUM(D31:D43)</f>
        <v>52500</v>
      </c>
      <c r="E44" s="7">
        <f t="shared" si="7"/>
        <v>63050</v>
      </c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 t="s">
        <v>51</v>
      </c>
      <c r="B48" s="1" t="s">
        <v>35</v>
      </c>
      <c r="C48" s="1" t="s">
        <v>12</v>
      </c>
      <c r="D48" s="1" t="s">
        <v>52</v>
      </c>
      <c r="E48" s="1" t="s">
        <v>52</v>
      </c>
      <c r="F48" s="1"/>
      <c r="G48" s="1"/>
      <c r="H48" s="1"/>
    </row>
    <row r="49" ht="15.75" customHeight="1">
      <c r="A49" s="1"/>
      <c r="B49" s="1" t="s">
        <v>14</v>
      </c>
      <c r="C49" s="1" t="s">
        <v>15</v>
      </c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 t="s">
        <v>53</v>
      </c>
      <c r="B51" s="1" t="s">
        <v>27</v>
      </c>
      <c r="C51" s="1" t="s">
        <v>13</v>
      </c>
      <c r="D51" s="7">
        <v>10000.0</v>
      </c>
      <c r="E51" s="7">
        <f>D51*20/100+D51</f>
        <v>12000</v>
      </c>
      <c r="F51" s="1"/>
      <c r="G51" s="1"/>
      <c r="H51" s="1"/>
    </row>
    <row r="52" ht="15.75" customHeight="1">
      <c r="A52" s="1"/>
      <c r="B52" s="1"/>
      <c r="C52" s="1" t="s">
        <v>54</v>
      </c>
      <c r="D52" s="1">
        <f>SUM(D3,D5,D8,D10,D11,D12,D15,D19:D27,D31,D32,D33,D34:D43,D51)</f>
        <v>125000</v>
      </c>
      <c r="E52" s="1">
        <f>SUM(E6,E8,E13,E44,E51)</f>
        <v>134050</v>
      </c>
      <c r="F52" s="1"/>
      <c r="G52" s="1"/>
      <c r="H52" s="1"/>
    </row>
    <row r="53" ht="15.75" customHeight="1">
      <c r="A53" s="1"/>
      <c r="B53" s="1"/>
      <c r="C53" s="1" t="s">
        <v>55</v>
      </c>
      <c r="D53" s="1">
        <v>3000.0</v>
      </c>
      <c r="E53" s="1">
        <v>3000.0</v>
      </c>
      <c r="F53" s="1"/>
      <c r="G53" s="1"/>
      <c r="H53" s="1"/>
    </row>
    <row r="54" ht="15.75" customHeight="1">
      <c r="A54" s="1"/>
      <c r="B54" s="1"/>
      <c r="C54" s="1" t="s">
        <v>56</v>
      </c>
      <c r="D54" s="1">
        <v>6000.0</v>
      </c>
      <c r="E54" s="1">
        <v>6000.0</v>
      </c>
      <c r="F54" s="1"/>
      <c r="G54" s="1"/>
      <c r="H54" s="1"/>
    </row>
    <row r="55" ht="15.75" customHeight="1">
      <c r="A55" s="1"/>
      <c r="B55" s="1"/>
      <c r="C55" s="1" t="s">
        <v>44</v>
      </c>
      <c r="D55" s="1">
        <f t="shared" ref="D55:E55" si="8">SUM(D52:D54)</f>
        <v>134000</v>
      </c>
      <c r="E55" s="1">
        <f t="shared" si="8"/>
        <v>143050</v>
      </c>
      <c r="F55" s="1"/>
      <c r="G55" s="1"/>
      <c r="H55" s="1"/>
    </row>
    <row r="56" ht="15.75" customHeight="1">
      <c r="A56" s="1" t="s">
        <v>57</v>
      </c>
      <c r="B56" s="1">
        <f>E55-D55</f>
        <v>9050</v>
      </c>
      <c r="C56" s="1"/>
      <c r="D56" s="1"/>
      <c r="E56" s="1"/>
      <c r="F56" s="1"/>
      <c r="G56" s="1"/>
      <c r="H56" s="1"/>
    </row>
    <row r="57" ht="15.75" customHeight="1">
      <c r="A57" s="1" t="s">
        <v>58</v>
      </c>
      <c r="B57" s="1">
        <f>E52*20/100</f>
        <v>26810</v>
      </c>
      <c r="C57" s="1"/>
      <c r="D57" s="1"/>
      <c r="E57" s="1"/>
      <c r="F57" s="1"/>
      <c r="G57" s="1"/>
      <c r="H57" s="1"/>
    </row>
    <row r="58" ht="15.75" customHeight="1">
      <c r="A58" s="1" t="s">
        <v>59</v>
      </c>
      <c r="B58" s="1">
        <f>SUM(B56:B57)</f>
        <v>35860</v>
      </c>
      <c r="C58" s="1"/>
      <c r="D58" s="1"/>
      <c r="E58" s="1"/>
      <c r="F58" s="1"/>
      <c r="G58" s="1"/>
      <c r="H58" s="1"/>
    </row>
    <row r="59" ht="15.75" customHeight="1">
      <c r="A59" s="1" t="s">
        <v>60</v>
      </c>
      <c r="B59" s="1">
        <f>B58*20/100</f>
        <v>7172</v>
      </c>
      <c r="C59" s="1"/>
      <c r="D59" s="1"/>
      <c r="E59" s="1"/>
      <c r="F59" s="1"/>
      <c r="G59" s="1"/>
      <c r="H59" s="1"/>
    </row>
    <row r="60" ht="15.75" customHeight="1">
      <c r="A60" s="1" t="s">
        <v>61</v>
      </c>
      <c r="B60" s="1">
        <f>B58-B59</f>
        <v>28688</v>
      </c>
      <c r="C60" s="1"/>
      <c r="D60" s="1"/>
      <c r="E60" s="1"/>
      <c r="F60" s="1"/>
      <c r="G60" s="1"/>
      <c r="H60" s="1"/>
    </row>
    <row r="61" ht="15.75" customHeight="1">
      <c r="A61" s="1" t="s">
        <v>62</v>
      </c>
      <c r="B61" s="1">
        <f>SUM(E55,B57)</f>
        <v>169860</v>
      </c>
      <c r="C61" s="1"/>
      <c r="D61" s="1"/>
      <c r="E61" s="1"/>
      <c r="F61" s="1"/>
      <c r="G61" s="1"/>
      <c r="H61" s="1"/>
    </row>
    <row r="62" ht="15.75" customHeight="1">
      <c r="A62" s="6" t="s">
        <v>63</v>
      </c>
      <c r="B62" s="6">
        <v>42465.0</v>
      </c>
      <c r="C62" s="1"/>
      <c r="D62" s="1"/>
      <c r="E62" s="1"/>
      <c r="F62" s="1"/>
      <c r="G62" s="1"/>
      <c r="H62" s="1"/>
    </row>
    <row r="63" ht="15.75" customHeight="1">
      <c r="A63" s="6" t="s">
        <v>64</v>
      </c>
      <c r="B63" s="6">
        <f>B61-B62</f>
        <v>127395</v>
      </c>
      <c r="C63" s="1"/>
      <c r="D63" s="1"/>
      <c r="E63" s="1"/>
      <c r="F63" s="1"/>
      <c r="G63" s="1"/>
      <c r="H63" s="1"/>
    </row>
    <row r="64" ht="15.75" customHeight="1">
      <c r="A64" s="6"/>
      <c r="B64" s="1"/>
      <c r="C64" s="1"/>
      <c r="D64" s="1"/>
      <c r="E64" s="1"/>
      <c r="F64" s="1"/>
      <c r="G64" s="1"/>
      <c r="H64" s="1"/>
    </row>
    <row r="65" ht="15.75" customHeight="1">
      <c r="A65" s="6"/>
      <c r="B65" s="1"/>
      <c r="C65" s="1"/>
      <c r="D65" s="1"/>
      <c r="E65" s="1"/>
      <c r="F65" s="1"/>
      <c r="G65" s="1"/>
      <c r="H65" s="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2.38"/>
    <col customWidth="1" min="3" max="3" width="19.75"/>
    <col customWidth="1" min="4" max="6" width="7.63"/>
    <col customWidth="1" min="7" max="7" width="21.75"/>
    <col customWidth="1" min="8" max="26" width="7.63"/>
  </cols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>
        <f>SUM(D9,D10,D16,D23,D31)</f>
        <v>12500</v>
      </c>
    </row>
    <row r="3">
      <c r="A3" s="1" t="s">
        <v>10</v>
      </c>
      <c r="B3" s="1" t="s">
        <v>11</v>
      </c>
      <c r="C3" s="1" t="s">
        <v>12</v>
      </c>
      <c r="D3" s="1">
        <v>26000.0</v>
      </c>
      <c r="E3" s="1">
        <v>26000.0</v>
      </c>
      <c r="F3" s="1"/>
      <c r="G3" s="1" t="s">
        <v>76</v>
      </c>
      <c r="H3" s="1">
        <f>SUM(D18,D33)</f>
        <v>4500</v>
      </c>
    </row>
    <row r="4">
      <c r="A4" s="1"/>
      <c r="B4" s="1" t="s">
        <v>14</v>
      </c>
      <c r="C4" s="1" t="s">
        <v>15</v>
      </c>
      <c r="D4" s="1"/>
      <c r="E4" s="1"/>
      <c r="F4" s="1"/>
      <c r="G4" s="1" t="s">
        <v>65</v>
      </c>
      <c r="H4" s="1">
        <f>SUM(D19,D33)</f>
        <v>4500</v>
      </c>
    </row>
    <row r="5">
      <c r="A5" s="1"/>
      <c r="B5" s="1"/>
      <c r="C5" s="1" t="s">
        <v>19</v>
      </c>
      <c r="D5" s="1">
        <f>SUM(D3:D4)</f>
        <v>26000</v>
      </c>
      <c r="E5" s="1">
        <v>26000.0</v>
      </c>
      <c r="F5" s="1"/>
      <c r="G5" s="1" t="s">
        <v>24</v>
      </c>
      <c r="H5" s="1">
        <f>SUM(D20,D36)</f>
        <v>4500</v>
      </c>
    </row>
    <row r="6">
      <c r="A6" s="1"/>
      <c r="B6" s="1"/>
      <c r="C6" s="1"/>
      <c r="D6" s="1"/>
      <c r="E6" s="1"/>
      <c r="F6" s="1"/>
      <c r="G6" s="1" t="s">
        <v>13</v>
      </c>
      <c r="H6" s="1">
        <f>SUM(D15,D29,D39)</f>
        <v>17500</v>
      </c>
    </row>
    <row r="7">
      <c r="A7" s="1"/>
      <c r="B7" s="1" t="s">
        <v>36</v>
      </c>
      <c r="C7" s="1" t="s">
        <v>79</v>
      </c>
      <c r="D7" s="6">
        <v>14000.0</v>
      </c>
      <c r="E7" s="1">
        <f>D7*50/100+D7</f>
        <v>21000</v>
      </c>
      <c r="F7" s="1"/>
      <c r="G7" s="1" t="s">
        <v>67</v>
      </c>
      <c r="H7" s="1">
        <f>SUM(D30)</f>
        <v>3000</v>
      </c>
    </row>
    <row r="8">
      <c r="A8" s="1"/>
      <c r="B8" s="1"/>
      <c r="C8" s="1"/>
      <c r="D8" s="1"/>
      <c r="E8" s="1"/>
      <c r="F8" s="1"/>
      <c r="G8" s="1" t="s">
        <v>69</v>
      </c>
      <c r="H8" s="1">
        <f>SUM(D34)</f>
        <v>3000</v>
      </c>
    </row>
    <row r="9">
      <c r="A9" s="1" t="s">
        <v>26</v>
      </c>
      <c r="B9" s="1" t="s">
        <v>27</v>
      </c>
      <c r="C9" s="1" t="s">
        <v>9</v>
      </c>
      <c r="D9" s="1">
        <v>3000.0</v>
      </c>
      <c r="E9" s="1">
        <f t="shared" ref="E9:E10" si="1">D9*70/100+D9</f>
        <v>5100</v>
      </c>
      <c r="F9" s="1"/>
      <c r="G9" s="1" t="s">
        <v>70</v>
      </c>
      <c r="H9" s="1">
        <f>SUM(D11,D17,D32)</f>
        <v>5500</v>
      </c>
    </row>
    <row r="10">
      <c r="A10" s="1"/>
      <c r="B10" s="1" t="s">
        <v>29</v>
      </c>
      <c r="C10" s="1" t="s">
        <v>15</v>
      </c>
      <c r="D10" s="1">
        <v>2000.0</v>
      </c>
      <c r="E10" s="1">
        <f t="shared" si="1"/>
        <v>3400</v>
      </c>
      <c r="F10" s="1"/>
      <c r="G10" s="1" t="s">
        <v>12</v>
      </c>
      <c r="H10" s="1">
        <f>SUM(D3:D4)</f>
        <v>26000</v>
      </c>
    </row>
    <row r="11">
      <c r="A11" s="1"/>
      <c r="B11" s="1" t="s">
        <v>31</v>
      </c>
      <c r="C11" s="1" t="s">
        <v>71</v>
      </c>
      <c r="D11" s="1">
        <v>1000.0</v>
      </c>
      <c r="E11" s="1">
        <f>D11*50/100+D11</f>
        <v>1500</v>
      </c>
      <c r="F11" s="1"/>
      <c r="G11" s="1"/>
      <c r="H11" s="1"/>
    </row>
    <row r="12">
      <c r="A12" s="1"/>
      <c r="B12" s="1"/>
      <c r="C12" s="1"/>
      <c r="D12" s="7">
        <f t="shared" ref="D12:E12" si="2">SUM(D9:D11)</f>
        <v>6000</v>
      </c>
      <c r="E12" s="7">
        <f t="shared" si="2"/>
        <v>10000</v>
      </c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 t="s">
        <v>80</v>
      </c>
      <c r="B15" s="1" t="s">
        <v>35</v>
      </c>
      <c r="C15" s="1" t="s">
        <v>13</v>
      </c>
      <c r="D15" s="1">
        <v>2500.0</v>
      </c>
      <c r="E15" s="1">
        <f t="shared" ref="E15:E16" si="3">D15*50/100+D15</f>
        <v>3750</v>
      </c>
      <c r="F15" s="1"/>
      <c r="G15" s="1"/>
      <c r="H15" s="1"/>
    </row>
    <row r="16">
      <c r="A16" s="1"/>
      <c r="B16" s="1" t="s">
        <v>29</v>
      </c>
      <c r="C16" s="1" t="s">
        <v>9</v>
      </c>
      <c r="D16" s="1">
        <v>1500.0</v>
      </c>
      <c r="E16" s="1">
        <f t="shared" si="3"/>
        <v>2250</v>
      </c>
      <c r="F16" s="1"/>
      <c r="G16" s="1"/>
      <c r="H16" s="1"/>
    </row>
    <row r="17">
      <c r="A17" s="1"/>
      <c r="B17" s="1" t="s">
        <v>31</v>
      </c>
      <c r="C17" s="1" t="s">
        <v>70</v>
      </c>
      <c r="D17" s="1">
        <v>1500.0</v>
      </c>
      <c r="E17" s="1">
        <v>1500.0</v>
      </c>
      <c r="F17" s="1"/>
      <c r="G17" s="1"/>
      <c r="H17" s="1"/>
    </row>
    <row r="18">
      <c r="A18" s="1"/>
      <c r="B18" s="1" t="s">
        <v>14</v>
      </c>
      <c r="C18" s="1" t="s">
        <v>76</v>
      </c>
      <c r="D18" s="1">
        <v>1500.0</v>
      </c>
      <c r="E18" s="1">
        <f t="shared" ref="E18:E20" si="4">D18*50/100+D18</f>
        <v>2250</v>
      </c>
      <c r="F18" s="1"/>
      <c r="G18" s="1"/>
      <c r="H18" s="1"/>
    </row>
    <row r="19">
      <c r="A19" s="1"/>
      <c r="B19" s="1" t="s">
        <v>41</v>
      </c>
      <c r="C19" s="1" t="s">
        <v>65</v>
      </c>
      <c r="D19" s="1">
        <v>1500.0</v>
      </c>
      <c r="E19" s="1">
        <f t="shared" si="4"/>
        <v>2250</v>
      </c>
      <c r="F19" s="1"/>
      <c r="G19" s="1"/>
      <c r="H19" s="1"/>
    </row>
    <row r="20">
      <c r="A20" s="1"/>
      <c r="B20" s="1" t="s">
        <v>81</v>
      </c>
      <c r="C20" s="1" t="s">
        <v>24</v>
      </c>
      <c r="D20" s="1">
        <v>1500.0</v>
      </c>
      <c r="E20" s="1">
        <f t="shared" si="4"/>
        <v>2250</v>
      </c>
      <c r="F20" s="1"/>
      <c r="G20" s="1"/>
      <c r="H20" s="1"/>
    </row>
    <row r="21" ht="15.75" customHeight="1">
      <c r="A21" s="1"/>
      <c r="B21" s="1"/>
      <c r="C21" s="1"/>
      <c r="D21" s="7">
        <f t="shared" ref="D21:E21" si="5">SUM(D15:D20)</f>
        <v>10000</v>
      </c>
      <c r="E21" s="7">
        <f t="shared" si="5"/>
        <v>14250</v>
      </c>
      <c r="F21" s="1"/>
      <c r="G21" s="1"/>
      <c r="H21" s="1"/>
    </row>
    <row r="22" ht="15.75" customHeight="1">
      <c r="A22" s="1"/>
      <c r="B22" s="1"/>
      <c r="C22" s="1"/>
      <c r="D22" s="7"/>
      <c r="E22" s="7"/>
      <c r="F22" s="1"/>
      <c r="G22" s="1"/>
      <c r="H22" s="1"/>
    </row>
    <row r="23" ht="15.75" customHeight="1">
      <c r="A23" s="1" t="s">
        <v>82</v>
      </c>
      <c r="B23" s="1" t="s">
        <v>27</v>
      </c>
      <c r="C23" s="1" t="s">
        <v>9</v>
      </c>
      <c r="D23" s="1">
        <v>3000.0</v>
      </c>
      <c r="E23" s="1">
        <f>D23*50/100+D23</f>
        <v>4500</v>
      </c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 t="s">
        <v>51</v>
      </c>
      <c r="B26" s="1" t="s">
        <v>35</v>
      </c>
      <c r="C26" s="1" t="s">
        <v>12</v>
      </c>
      <c r="D26" s="1" t="s">
        <v>52</v>
      </c>
      <c r="E26" s="1" t="s">
        <v>83</v>
      </c>
      <c r="F26" s="1"/>
      <c r="G26" s="1"/>
      <c r="H26" s="1"/>
    </row>
    <row r="27" ht="15.75" customHeight="1">
      <c r="A27" s="1"/>
      <c r="B27" s="1" t="s">
        <v>14</v>
      </c>
      <c r="C27" s="1" t="s">
        <v>15</v>
      </c>
      <c r="D27" s="1" t="s">
        <v>15</v>
      </c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 t="s">
        <v>84</v>
      </c>
      <c r="B29" s="1" t="s">
        <v>35</v>
      </c>
      <c r="C29" s="1" t="s">
        <v>13</v>
      </c>
      <c r="D29" s="1">
        <v>5000.0</v>
      </c>
      <c r="E29" s="1">
        <f t="shared" ref="E29:E36" si="6">D29*70/100+D29</f>
        <v>8500</v>
      </c>
      <c r="F29" s="1"/>
      <c r="G29" s="1"/>
      <c r="H29" s="1"/>
    </row>
    <row r="30" ht="15.75" customHeight="1">
      <c r="A30" s="1"/>
      <c r="B30" s="1" t="s">
        <v>35</v>
      </c>
      <c r="C30" s="1" t="s">
        <v>67</v>
      </c>
      <c r="D30" s="1">
        <v>3000.0</v>
      </c>
      <c r="E30" s="1">
        <f t="shared" si="6"/>
        <v>5100</v>
      </c>
      <c r="F30" s="1"/>
      <c r="G30" s="1"/>
      <c r="H30" s="1"/>
    </row>
    <row r="31" ht="15.75" customHeight="1">
      <c r="A31" s="1"/>
      <c r="B31" s="1" t="s">
        <v>29</v>
      </c>
      <c r="C31" s="1" t="s">
        <v>9</v>
      </c>
      <c r="D31" s="1">
        <v>3000.0</v>
      </c>
      <c r="E31" s="1">
        <f t="shared" si="6"/>
        <v>5100</v>
      </c>
      <c r="F31" s="1"/>
      <c r="G31" s="1"/>
      <c r="H31" s="1"/>
    </row>
    <row r="32" ht="15.75" customHeight="1">
      <c r="A32" s="1"/>
      <c r="B32" s="1" t="s">
        <v>31</v>
      </c>
      <c r="C32" s="1" t="s">
        <v>70</v>
      </c>
      <c r="D32" s="1">
        <v>3000.0</v>
      </c>
      <c r="E32" s="1">
        <f t="shared" si="6"/>
        <v>5100</v>
      </c>
      <c r="F32" s="1"/>
      <c r="G32" s="1"/>
      <c r="H32" s="1"/>
    </row>
    <row r="33" ht="15.75" customHeight="1">
      <c r="A33" s="1"/>
      <c r="B33" s="1" t="s">
        <v>14</v>
      </c>
      <c r="C33" s="1" t="s">
        <v>76</v>
      </c>
      <c r="D33" s="1">
        <v>3000.0</v>
      </c>
      <c r="E33" s="1">
        <f t="shared" si="6"/>
        <v>5100</v>
      </c>
      <c r="F33" s="1"/>
      <c r="G33" s="1"/>
      <c r="H33" s="1"/>
    </row>
    <row r="34" ht="15.75" customHeight="1">
      <c r="A34" s="1"/>
      <c r="B34" s="1" t="s">
        <v>50</v>
      </c>
      <c r="C34" s="1" t="s">
        <v>69</v>
      </c>
      <c r="D34" s="1">
        <v>3000.0</v>
      </c>
      <c r="E34" s="1">
        <f t="shared" si="6"/>
        <v>5100</v>
      </c>
      <c r="F34" s="1"/>
      <c r="G34" s="1"/>
      <c r="H34" s="1"/>
    </row>
    <row r="35" ht="15.75" customHeight="1">
      <c r="A35" s="1"/>
      <c r="B35" s="1" t="s">
        <v>85</v>
      </c>
      <c r="C35" s="1" t="s">
        <v>65</v>
      </c>
      <c r="D35" s="1">
        <v>3000.0</v>
      </c>
      <c r="E35" s="1">
        <f t="shared" si="6"/>
        <v>5100</v>
      </c>
      <c r="F35" s="1"/>
      <c r="G35" s="1"/>
      <c r="H35" s="1"/>
    </row>
    <row r="36" ht="15.75" customHeight="1">
      <c r="A36" s="1"/>
      <c r="B36" s="1" t="s">
        <v>43</v>
      </c>
      <c r="C36" s="1" t="s">
        <v>24</v>
      </c>
      <c r="D36" s="1">
        <v>3000.0</v>
      </c>
      <c r="E36" s="1">
        <f t="shared" si="6"/>
        <v>5100</v>
      </c>
      <c r="F36" s="1"/>
      <c r="G36" s="1"/>
      <c r="H36" s="1"/>
    </row>
    <row r="37" ht="15.75" customHeight="1">
      <c r="A37" s="1"/>
      <c r="B37" s="1"/>
      <c r="C37" s="1"/>
      <c r="D37" s="1">
        <f t="shared" ref="D37:E37" si="7">SUM(D29:D36)</f>
        <v>26000</v>
      </c>
      <c r="E37" s="1">
        <f t="shared" si="7"/>
        <v>44200</v>
      </c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 t="s">
        <v>53</v>
      </c>
      <c r="B39" s="1" t="s">
        <v>27</v>
      </c>
      <c r="C39" s="1" t="s">
        <v>13</v>
      </c>
      <c r="D39" s="1">
        <v>10000.0</v>
      </c>
      <c r="E39" s="1">
        <f>D39*20/100+D39</f>
        <v>12000</v>
      </c>
      <c r="F39" s="1"/>
      <c r="G39" s="1"/>
      <c r="H39" s="1"/>
    </row>
    <row r="40" ht="15.75" customHeight="1">
      <c r="A40" s="1"/>
      <c r="B40" s="1"/>
      <c r="C40" s="1" t="s">
        <v>54</v>
      </c>
      <c r="D40" s="1">
        <f t="shared" ref="D40:E40" si="8">SUM(D5,D12,D21,D23,D37,D39)</f>
        <v>81000</v>
      </c>
      <c r="E40" s="1">
        <f t="shared" si="8"/>
        <v>110950</v>
      </c>
      <c r="F40" s="1"/>
      <c r="G40" s="1"/>
      <c r="H40" s="1"/>
    </row>
    <row r="41" ht="15.75" customHeight="1">
      <c r="A41" s="1"/>
      <c r="B41" s="1"/>
      <c r="C41" s="1" t="s">
        <v>55</v>
      </c>
      <c r="D41" s="1">
        <v>3000.0</v>
      </c>
      <c r="E41" s="1">
        <v>3000.0</v>
      </c>
      <c r="F41" s="1"/>
      <c r="G41" s="1"/>
      <c r="H41" s="1"/>
    </row>
    <row r="42" ht="15.75" customHeight="1">
      <c r="A42" s="1"/>
      <c r="B42" s="1"/>
      <c r="C42" s="1" t="s">
        <v>44</v>
      </c>
      <c r="D42" s="1">
        <f t="shared" ref="D42:E42" si="9">SUM(D40:D41)</f>
        <v>84000</v>
      </c>
      <c r="E42" s="1">
        <f t="shared" si="9"/>
        <v>113950</v>
      </c>
      <c r="F42" s="1"/>
      <c r="G42" s="1"/>
      <c r="H42" s="1"/>
    </row>
    <row r="43" ht="15.75" customHeight="1">
      <c r="A43" s="1" t="s">
        <v>57</v>
      </c>
      <c r="B43" s="1">
        <f>E42-D42</f>
        <v>29950</v>
      </c>
      <c r="C43" s="1"/>
      <c r="D43" s="1"/>
      <c r="E43" s="1"/>
      <c r="F43" s="1"/>
      <c r="G43" s="1"/>
      <c r="H43" s="1"/>
    </row>
    <row r="44" ht="15.75" customHeight="1">
      <c r="A44" s="1" t="s">
        <v>58</v>
      </c>
      <c r="B44" s="1">
        <f>E40*20/100</f>
        <v>22190</v>
      </c>
      <c r="C44" s="1"/>
      <c r="D44" s="1"/>
      <c r="E44" s="1"/>
      <c r="F44" s="1"/>
      <c r="G44" s="1"/>
      <c r="H44" s="1"/>
    </row>
    <row r="45" ht="15.75" customHeight="1">
      <c r="A45" s="1" t="s">
        <v>59</v>
      </c>
      <c r="B45" s="1">
        <f>SUM(B43:B44)</f>
        <v>52140</v>
      </c>
      <c r="C45" s="1"/>
      <c r="D45" s="1"/>
      <c r="E45" s="1"/>
      <c r="F45" s="1"/>
      <c r="G45" s="1"/>
      <c r="H45" s="1"/>
    </row>
    <row r="46" ht="15.75" customHeight="1">
      <c r="A46" s="1" t="s">
        <v>60</v>
      </c>
      <c r="B46" s="1">
        <f>B45*20/100</f>
        <v>10428</v>
      </c>
      <c r="C46" s="1"/>
      <c r="D46" s="1"/>
      <c r="E46" s="1"/>
      <c r="F46" s="1"/>
      <c r="G46" s="1"/>
      <c r="H46" s="1"/>
    </row>
    <row r="47" ht="15.75" customHeight="1">
      <c r="A47" s="1" t="s">
        <v>61</v>
      </c>
      <c r="B47" s="1">
        <f>B45-B46</f>
        <v>41712</v>
      </c>
      <c r="C47" s="1"/>
      <c r="D47" s="1"/>
      <c r="E47" s="1"/>
      <c r="F47" s="1"/>
      <c r="G47" s="1"/>
      <c r="H47" s="1"/>
    </row>
    <row r="48" ht="15.75" customHeight="1">
      <c r="A48" s="1" t="s">
        <v>62</v>
      </c>
      <c r="B48" s="1">
        <f>SUM(E42,B44)</f>
        <v>136140</v>
      </c>
      <c r="C48" s="1"/>
      <c r="D48" s="1"/>
      <c r="E48" s="1"/>
      <c r="F48" s="1"/>
      <c r="G48" s="1"/>
      <c r="H48" s="1"/>
    </row>
    <row r="49" ht="15.75" customHeight="1">
      <c r="A49" s="1" t="s">
        <v>86</v>
      </c>
      <c r="B49" s="1">
        <f>B48*15/100</f>
        <v>20421</v>
      </c>
      <c r="C49" s="1"/>
      <c r="D49" s="1"/>
      <c r="E49" s="1"/>
      <c r="F49" s="1"/>
      <c r="G49" s="1"/>
      <c r="H49" s="1"/>
    </row>
    <row r="50" ht="15.75" customHeight="1">
      <c r="A50" s="1" t="s">
        <v>87</v>
      </c>
      <c r="B50" s="1">
        <f>SUM(B48:B49)</f>
        <v>156561</v>
      </c>
      <c r="C50" s="1"/>
      <c r="D50" s="1"/>
      <c r="E50" s="1"/>
      <c r="F50" s="1"/>
      <c r="G50" s="1"/>
      <c r="H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2.38"/>
    <col customWidth="1" min="3" max="3" width="19.75"/>
    <col customWidth="1" min="4" max="4" width="5.25"/>
    <col customWidth="1" min="5" max="5" width="10.63"/>
    <col customWidth="1" min="6" max="6" width="7.63"/>
    <col customWidth="1" min="7" max="7" width="21.75"/>
    <col customWidth="1" min="8" max="26" width="7.63"/>
  </cols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>
        <f>SUM(D10,D11,D17,D24,D32)</f>
        <v>12500</v>
      </c>
    </row>
    <row r="3">
      <c r="A3" s="1" t="s">
        <v>10</v>
      </c>
      <c r="B3" s="1" t="s">
        <v>11</v>
      </c>
      <c r="C3" s="1" t="s">
        <v>12</v>
      </c>
      <c r="D3" s="1">
        <v>26000.0</v>
      </c>
      <c r="E3" s="1">
        <v>26000.0</v>
      </c>
      <c r="F3" s="1"/>
      <c r="G3" s="1" t="s">
        <v>76</v>
      </c>
      <c r="H3" s="1">
        <f>SUM(D19,D34)</f>
        <v>4500</v>
      </c>
    </row>
    <row r="4">
      <c r="A4" s="1"/>
      <c r="B4" s="1" t="s">
        <v>14</v>
      </c>
      <c r="C4" s="1" t="s">
        <v>15</v>
      </c>
      <c r="D4" s="1"/>
      <c r="E4" s="1"/>
      <c r="F4" s="1"/>
      <c r="G4" s="1" t="s">
        <v>65</v>
      </c>
      <c r="H4" s="1">
        <f>SUM(D20,D34)</f>
        <v>4500</v>
      </c>
    </row>
    <row r="5">
      <c r="A5" s="1"/>
      <c r="B5" s="1" t="s">
        <v>17</v>
      </c>
      <c r="C5" s="1" t="s">
        <v>15</v>
      </c>
      <c r="D5" s="1">
        <f>2500*2</f>
        <v>5000</v>
      </c>
      <c r="E5" s="1">
        <v>5000.0</v>
      </c>
      <c r="F5" s="1"/>
      <c r="G5" s="1"/>
      <c r="H5" s="1"/>
    </row>
    <row r="6">
      <c r="A6" s="1"/>
      <c r="B6" s="1"/>
      <c r="C6" s="1" t="s">
        <v>19</v>
      </c>
      <c r="D6" s="7">
        <f t="shared" ref="D6:E6" si="1">SUM(D3:D5)</f>
        <v>31000</v>
      </c>
      <c r="E6" s="7">
        <f t="shared" si="1"/>
        <v>31000</v>
      </c>
      <c r="F6" s="1"/>
      <c r="G6" s="1" t="s">
        <v>24</v>
      </c>
      <c r="H6" s="1">
        <f>SUM(D21,D37)</f>
        <v>4500</v>
      </c>
    </row>
    <row r="7">
      <c r="A7" s="1"/>
      <c r="B7" s="1"/>
      <c r="C7" s="1"/>
      <c r="D7" s="1"/>
      <c r="E7" s="1"/>
      <c r="F7" s="1"/>
      <c r="G7" s="1" t="s">
        <v>13</v>
      </c>
      <c r="H7" s="1">
        <f>SUM(D16,D30,D40)</f>
        <v>17500</v>
      </c>
    </row>
    <row r="8">
      <c r="A8" s="1"/>
      <c r="B8" s="1" t="s">
        <v>36</v>
      </c>
      <c r="C8" s="1" t="s">
        <v>79</v>
      </c>
      <c r="D8" s="6">
        <v>14000.0</v>
      </c>
      <c r="E8" s="1">
        <f>D8*50/100+D8</f>
        <v>21000</v>
      </c>
      <c r="F8" s="1"/>
      <c r="G8" s="1" t="s">
        <v>67</v>
      </c>
      <c r="H8" s="1">
        <f>SUM(D31)</f>
        <v>3000</v>
      </c>
    </row>
    <row r="9">
      <c r="A9" s="1"/>
      <c r="B9" s="1"/>
      <c r="C9" s="1"/>
      <c r="D9" s="1"/>
      <c r="E9" s="1"/>
      <c r="F9" s="1"/>
      <c r="G9" s="1" t="s">
        <v>69</v>
      </c>
      <c r="H9" s="1">
        <f>SUM(D35)</f>
        <v>3000</v>
      </c>
    </row>
    <row r="10">
      <c r="A10" s="1" t="s">
        <v>26</v>
      </c>
      <c r="B10" s="1" t="s">
        <v>27</v>
      </c>
      <c r="C10" s="1" t="s">
        <v>9</v>
      </c>
      <c r="D10" s="1">
        <v>3000.0</v>
      </c>
      <c r="E10" s="1">
        <f t="shared" ref="E10:E11" si="2">D10*70/100+D10</f>
        <v>5100</v>
      </c>
      <c r="F10" s="1"/>
      <c r="G10" s="1" t="s">
        <v>70</v>
      </c>
      <c r="H10" s="1">
        <f>SUM(D12,D18,D33)</f>
        <v>5500</v>
      </c>
    </row>
    <row r="11">
      <c r="A11" s="1"/>
      <c r="B11" s="1" t="s">
        <v>29</v>
      </c>
      <c r="C11" s="1" t="s">
        <v>15</v>
      </c>
      <c r="D11" s="1">
        <v>2000.0</v>
      </c>
      <c r="E11" s="1">
        <f t="shared" si="2"/>
        <v>3400</v>
      </c>
      <c r="F11" s="1"/>
      <c r="G11" s="1" t="s">
        <v>12</v>
      </c>
      <c r="H11" s="1">
        <f>SUM(D3:D4)</f>
        <v>26000</v>
      </c>
    </row>
    <row r="12">
      <c r="A12" s="1"/>
      <c r="B12" s="1" t="s">
        <v>31</v>
      </c>
      <c r="C12" s="1" t="s">
        <v>71</v>
      </c>
      <c r="D12" s="1">
        <v>1000.0</v>
      </c>
      <c r="E12" s="1">
        <f>D12*50/100+D12</f>
        <v>1500</v>
      </c>
      <c r="F12" s="1"/>
      <c r="G12" s="1"/>
      <c r="H12" s="1"/>
    </row>
    <row r="13">
      <c r="A13" s="1"/>
      <c r="B13" s="1"/>
      <c r="C13" s="1"/>
      <c r="D13" s="7">
        <f t="shared" ref="D13:E13" si="3">SUM(D10:D12)</f>
        <v>6000</v>
      </c>
      <c r="E13" s="7">
        <f t="shared" si="3"/>
        <v>10000</v>
      </c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 t="s">
        <v>80</v>
      </c>
      <c r="B16" s="1" t="s">
        <v>35</v>
      </c>
      <c r="C16" s="1" t="s">
        <v>13</v>
      </c>
      <c r="D16" s="1">
        <v>2500.0</v>
      </c>
      <c r="E16" s="1">
        <f t="shared" ref="E16:E17" si="4">D16*50/100+D16</f>
        <v>3750</v>
      </c>
      <c r="F16" s="1"/>
      <c r="G16" s="1"/>
      <c r="H16" s="1"/>
    </row>
    <row r="17">
      <c r="A17" s="1"/>
      <c r="B17" s="1" t="s">
        <v>29</v>
      </c>
      <c r="C17" s="1" t="s">
        <v>9</v>
      </c>
      <c r="D17" s="1">
        <v>1500.0</v>
      </c>
      <c r="E17" s="1">
        <f t="shared" si="4"/>
        <v>2250</v>
      </c>
      <c r="F17" s="1"/>
      <c r="G17" s="1"/>
      <c r="H17" s="1"/>
    </row>
    <row r="18">
      <c r="A18" s="1"/>
      <c r="B18" s="1" t="s">
        <v>31</v>
      </c>
      <c r="C18" s="1" t="s">
        <v>70</v>
      </c>
      <c r="D18" s="1">
        <v>1500.0</v>
      </c>
      <c r="E18" s="1">
        <v>1500.0</v>
      </c>
      <c r="F18" s="1"/>
      <c r="G18" s="1"/>
      <c r="H18" s="1"/>
    </row>
    <row r="19">
      <c r="A19" s="1"/>
      <c r="B19" s="1" t="s">
        <v>14</v>
      </c>
      <c r="C19" s="1" t="s">
        <v>76</v>
      </c>
      <c r="D19" s="1">
        <v>1500.0</v>
      </c>
      <c r="E19" s="1">
        <f t="shared" ref="E19:E21" si="5">D19*50/100+D19</f>
        <v>2250</v>
      </c>
      <c r="F19" s="1"/>
      <c r="G19" s="1"/>
      <c r="H19" s="1"/>
    </row>
    <row r="20">
      <c r="A20" s="1"/>
      <c r="B20" s="1" t="s">
        <v>41</v>
      </c>
      <c r="C20" s="1" t="s">
        <v>65</v>
      </c>
      <c r="D20" s="1">
        <v>1500.0</v>
      </c>
      <c r="E20" s="1">
        <f t="shared" si="5"/>
        <v>2250</v>
      </c>
      <c r="F20" s="1"/>
      <c r="G20" s="1"/>
      <c r="H20" s="1"/>
    </row>
    <row r="21" ht="15.75" customHeight="1">
      <c r="A21" s="1"/>
      <c r="B21" s="1" t="s">
        <v>81</v>
      </c>
      <c r="C21" s="1" t="s">
        <v>24</v>
      </c>
      <c r="D21" s="1">
        <v>1500.0</v>
      </c>
      <c r="E21" s="1">
        <f t="shared" si="5"/>
        <v>2250</v>
      </c>
      <c r="F21" s="1"/>
      <c r="G21" s="1"/>
      <c r="H21" s="1"/>
    </row>
    <row r="22" ht="15.75" customHeight="1">
      <c r="A22" s="1"/>
      <c r="B22" s="1"/>
      <c r="C22" s="1"/>
      <c r="D22" s="7"/>
      <c r="E22" s="7"/>
      <c r="F22" s="1"/>
      <c r="G22" s="1"/>
      <c r="H22" s="1"/>
    </row>
    <row r="23" ht="15.75" customHeight="1">
      <c r="A23" s="1"/>
      <c r="B23" s="1"/>
      <c r="C23" s="1"/>
      <c r="D23" s="7"/>
      <c r="E23" s="7"/>
      <c r="F23" s="1"/>
      <c r="G23" s="1"/>
      <c r="H23" s="1"/>
    </row>
    <row r="24" ht="15.75" customHeight="1">
      <c r="A24" s="1" t="s">
        <v>82</v>
      </c>
      <c r="B24" s="1" t="s">
        <v>27</v>
      </c>
      <c r="C24" s="1" t="s">
        <v>9</v>
      </c>
      <c r="D24" s="1">
        <v>3000.0</v>
      </c>
      <c r="E24" s="1">
        <f>D24*50/100+D24</f>
        <v>4500</v>
      </c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 t="s">
        <v>51</v>
      </c>
      <c r="B27" s="1" t="s">
        <v>35</v>
      </c>
      <c r="C27" s="1" t="s">
        <v>12</v>
      </c>
      <c r="D27" s="1" t="s">
        <v>52</v>
      </c>
      <c r="E27" s="1" t="s">
        <v>83</v>
      </c>
      <c r="F27" s="1"/>
      <c r="G27" s="1"/>
      <c r="H27" s="1"/>
    </row>
    <row r="28" ht="15.75" customHeight="1">
      <c r="A28" s="1"/>
      <c r="B28" s="1" t="s">
        <v>14</v>
      </c>
      <c r="C28" s="1" t="s">
        <v>15</v>
      </c>
      <c r="D28" s="1" t="s">
        <v>15</v>
      </c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 t="s">
        <v>84</v>
      </c>
      <c r="B30" s="1" t="s">
        <v>35</v>
      </c>
      <c r="C30" s="1" t="s">
        <v>13</v>
      </c>
      <c r="D30" s="1">
        <v>5000.0</v>
      </c>
      <c r="E30" s="1">
        <f t="shared" ref="E30:E37" si="6">D30*70/100+D30</f>
        <v>8500</v>
      </c>
      <c r="F30" s="1"/>
      <c r="G30" s="1"/>
      <c r="H30" s="1"/>
    </row>
    <row r="31" ht="15.75" customHeight="1">
      <c r="A31" s="1"/>
      <c r="B31" s="1" t="s">
        <v>35</v>
      </c>
      <c r="C31" s="1" t="s">
        <v>67</v>
      </c>
      <c r="D31" s="1">
        <v>3000.0</v>
      </c>
      <c r="E31" s="1">
        <f t="shared" si="6"/>
        <v>5100</v>
      </c>
      <c r="F31" s="1"/>
      <c r="G31" s="1"/>
      <c r="H31" s="1"/>
    </row>
    <row r="32" ht="15.75" customHeight="1">
      <c r="A32" s="1"/>
      <c r="B32" s="1" t="s">
        <v>29</v>
      </c>
      <c r="C32" s="1" t="s">
        <v>9</v>
      </c>
      <c r="D32" s="1">
        <v>3000.0</v>
      </c>
      <c r="E32" s="1">
        <f t="shared" si="6"/>
        <v>5100</v>
      </c>
      <c r="F32" s="1"/>
      <c r="G32" s="1"/>
      <c r="H32" s="1"/>
    </row>
    <row r="33" ht="15.75" customHeight="1">
      <c r="A33" s="1"/>
      <c r="B33" s="1" t="s">
        <v>31</v>
      </c>
      <c r="C33" s="1" t="s">
        <v>70</v>
      </c>
      <c r="D33" s="1">
        <v>3000.0</v>
      </c>
      <c r="E33" s="1">
        <f t="shared" si="6"/>
        <v>5100</v>
      </c>
      <c r="F33" s="1"/>
      <c r="G33" s="1"/>
      <c r="H33" s="1"/>
    </row>
    <row r="34" ht="15.75" customHeight="1">
      <c r="A34" s="1"/>
      <c r="B34" s="1" t="s">
        <v>14</v>
      </c>
      <c r="C34" s="1" t="s">
        <v>76</v>
      </c>
      <c r="D34" s="1">
        <v>3000.0</v>
      </c>
      <c r="E34" s="1">
        <f t="shared" si="6"/>
        <v>5100</v>
      </c>
      <c r="F34" s="1"/>
      <c r="G34" s="1"/>
      <c r="H34" s="1"/>
    </row>
    <row r="35" ht="15.75" customHeight="1">
      <c r="A35" s="1"/>
      <c r="B35" s="1" t="s">
        <v>50</v>
      </c>
      <c r="C35" s="1" t="s">
        <v>69</v>
      </c>
      <c r="D35" s="1">
        <v>3000.0</v>
      </c>
      <c r="E35" s="1">
        <f t="shared" si="6"/>
        <v>5100</v>
      </c>
      <c r="F35" s="1"/>
      <c r="G35" s="1"/>
      <c r="H35" s="1"/>
    </row>
    <row r="36" ht="15.75" customHeight="1">
      <c r="A36" s="1"/>
      <c r="B36" s="1" t="s">
        <v>85</v>
      </c>
      <c r="C36" s="1" t="s">
        <v>65</v>
      </c>
      <c r="D36" s="1">
        <v>3000.0</v>
      </c>
      <c r="E36" s="1">
        <f t="shared" si="6"/>
        <v>5100</v>
      </c>
      <c r="F36" s="1"/>
      <c r="G36" s="1"/>
      <c r="H36" s="1"/>
    </row>
    <row r="37" ht="15.75" customHeight="1">
      <c r="A37" s="1"/>
      <c r="B37" s="1" t="s">
        <v>43</v>
      </c>
      <c r="C37" s="1" t="s">
        <v>24</v>
      </c>
      <c r="D37" s="1">
        <v>3000.0</v>
      </c>
      <c r="E37" s="1">
        <f t="shared" si="6"/>
        <v>5100</v>
      </c>
      <c r="F37" s="1"/>
      <c r="G37" s="1"/>
      <c r="H37" s="1"/>
    </row>
    <row r="38" ht="15.75" customHeight="1">
      <c r="A38" s="1"/>
      <c r="B38" s="1"/>
      <c r="C38" s="1"/>
      <c r="D38" s="1">
        <f t="shared" ref="D38:E38" si="7">SUM(D30:D37)</f>
        <v>26000</v>
      </c>
      <c r="E38" s="1">
        <f t="shared" si="7"/>
        <v>44200</v>
      </c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 t="s">
        <v>53</v>
      </c>
      <c r="B40" s="1" t="s">
        <v>27</v>
      </c>
      <c r="C40" s="1" t="s">
        <v>13</v>
      </c>
      <c r="D40" s="1">
        <v>10000.0</v>
      </c>
      <c r="E40" s="1">
        <f>D40*20/100+D40</f>
        <v>12000</v>
      </c>
      <c r="F40" s="1"/>
      <c r="G40" s="1"/>
      <c r="H40" s="1"/>
    </row>
    <row r="41" ht="15.75" customHeight="1">
      <c r="A41" s="1"/>
      <c r="B41" s="1"/>
      <c r="C41" s="1" t="s">
        <v>54</v>
      </c>
      <c r="D41" s="1">
        <f t="shared" ref="D41:E41" si="8">SUM(D6,D13,D24,D38,D40)</f>
        <v>76000</v>
      </c>
      <c r="E41" s="1">
        <f t="shared" si="8"/>
        <v>101700</v>
      </c>
      <c r="F41" s="1"/>
      <c r="G41" s="1"/>
      <c r="H41" s="1"/>
    </row>
    <row r="42" ht="15.75" customHeight="1">
      <c r="A42" s="1"/>
      <c r="B42" s="1"/>
      <c r="C42" s="1" t="s">
        <v>55</v>
      </c>
      <c r="D42" s="1">
        <v>3000.0</v>
      </c>
      <c r="E42" s="1">
        <v>3000.0</v>
      </c>
      <c r="F42" s="1"/>
      <c r="G42" s="1"/>
      <c r="H42" s="1"/>
    </row>
    <row r="43" ht="15.75" customHeight="1">
      <c r="A43" s="1"/>
      <c r="B43" s="1"/>
      <c r="C43" s="1" t="s">
        <v>44</v>
      </c>
      <c r="D43" s="1">
        <f t="shared" ref="D43:E43" si="9">SUM(D41:D42)</f>
        <v>79000</v>
      </c>
      <c r="E43" s="1">
        <f t="shared" si="9"/>
        <v>104700</v>
      </c>
      <c r="F43" s="1"/>
      <c r="G43" s="1"/>
      <c r="H43" s="1"/>
    </row>
    <row r="44" ht="15.75" customHeight="1">
      <c r="A44" s="1" t="s">
        <v>57</v>
      </c>
      <c r="B44" s="1">
        <f>E43-D43</f>
        <v>25700</v>
      </c>
      <c r="C44" s="1"/>
      <c r="D44" s="1"/>
      <c r="E44" s="1"/>
      <c r="F44" s="1"/>
      <c r="G44" s="1"/>
      <c r="H44" s="1"/>
    </row>
    <row r="45" ht="15.75" customHeight="1">
      <c r="A45" s="1" t="s">
        <v>58</v>
      </c>
      <c r="B45" s="1">
        <f>E41*20/100</f>
        <v>20340</v>
      </c>
      <c r="C45" s="1"/>
      <c r="D45" s="1"/>
      <c r="E45" s="1"/>
      <c r="F45" s="1"/>
      <c r="G45" s="1"/>
      <c r="H45" s="1"/>
    </row>
    <row r="46" ht="15.75" customHeight="1">
      <c r="A46" s="1" t="s">
        <v>59</v>
      </c>
      <c r="B46" s="1">
        <f>SUM(B44:B45)</f>
        <v>46040</v>
      </c>
      <c r="C46" s="1"/>
      <c r="D46" s="1"/>
      <c r="E46" s="1"/>
      <c r="F46" s="1"/>
      <c r="G46" s="1"/>
      <c r="H46" s="1"/>
    </row>
    <row r="47" ht="15.75" customHeight="1">
      <c r="A47" s="1" t="s">
        <v>60</v>
      </c>
      <c r="B47" s="1">
        <f>B46*20/100</f>
        <v>9208</v>
      </c>
      <c r="C47" s="1"/>
      <c r="D47" s="1"/>
      <c r="E47" s="1"/>
      <c r="F47" s="1"/>
      <c r="G47" s="1"/>
      <c r="H47" s="1"/>
    </row>
    <row r="48" ht="15.75" customHeight="1">
      <c r="A48" s="1" t="s">
        <v>61</v>
      </c>
      <c r="B48" s="1">
        <f>B46-B47</f>
        <v>36832</v>
      </c>
      <c r="C48" s="1"/>
      <c r="D48" s="1"/>
      <c r="E48" s="1"/>
      <c r="F48" s="1"/>
      <c r="G48" s="1"/>
      <c r="H48" s="1"/>
    </row>
    <row r="49" ht="15.75" customHeight="1">
      <c r="A49" s="1" t="s">
        <v>62</v>
      </c>
      <c r="B49" s="1">
        <f>SUM(E43,B45)</f>
        <v>125040</v>
      </c>
      <c r="C49" s="1"/>
      <c r="D49" s="1"/>
      <c r="E49" s="1"/>
      <c r="F49" s="1"/>
      <c r="G49" s="1"/>
      <c r="H49" s="1"/>
    </row>
    <row r="50" ht="15.75" customHeight="1">
      <c r="A50" s="1" t="s">
        <v>86</v>
      </c>
      <c r="B50" s="1">
        <f>B49*15/100</f>
        <v>18756</v>
      </c>
      <c r="C50" s="1"/>
      <c r="D50" s="1"/>
      <c r="E50" s="1"/>
      <c r="F50" s="1"/>
      <c r="G50" s="1"/>
      <c r="H50" s="1"/>
    </row>
    <row r="51" ht="15.75" customHeight="1">
      <c r="A51" s="1" t="s">
        <v>87</v>
      </c>
      <c r="B51" s="1">
        <f>SUM(B49:B50)</f>
        <v>143796</v>
      </c>
      <c r="C51" s="1"/>
      <c r="D51" s="1"/>
      <c r="E51" s="1"/>
      <c r="F51" s="1"/>
      <c r="G51" s="1"/>
      <c r="H51" s="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2.38"/>
    <col customWidth="1" min="3" max="3" width="19.75"/>
    <col customWidth="1" min="4" max="4" width="7.63"/>
    <col customWidth="1" min="5" max="5" width="10.63"/>
    <col customWidth="1" min="6" max="6" width="7.63"/>
    <col customWidth="1" min="7" max="7" width="21.75"/>
    <col customWidth="1" min="8" max="8" width="21.88"/>
    <col customWidth="1" min="9" max="26" width="7.63"/>
  </cols>
  <sheetData>
    <row r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>
        <f>SUM(D8:D9,D29)</f>
        <v>8500</v>
      </c>
    </row>
    <row r="3">
      <c r="A3" s="1" t="s">
        <v>10</v>
      </c>
      <c r="B3" s="1" t="s">
        <v>11</v>
      </c>
      <c r="C3" s="1" t="s">
        <v>12</v>
      </c>
      <c r="D3" s="1">
        <v>26000.0</v>
      </c>
      <c r="E3" s="1">
        <v>26000.0</v>
      </c>
      <c r="F3" s="1"/>
      <c r="G3" s="1" t="s">
        <v>76</v>
      </c>
      <c r="H3" s="1">
        <f t="shared" ref="H3:H5" si="1">SUM(D35)</f>
        <v>3500</v>
      </c>
    </row>
    <row r="4">
      <c r="A4" s="1"/>
      <c r="B4" s="1" t="s">
        <v>17</v>
      </c>
      <c r="C4" s="1" t="s">
        <v>15</v>
      </c>
      <c r="D4" s="1">
        <v>5000.0</v>
      </c>
      <c r="E4" s="1">
        <v>5000.0</v>
      </c>
      <c r="F4" s="1"/>
      <c r="G4" s="1" t="s">
        <v>65</v>
      </c>
      <c r="H4" s="1">
        <f t="shared" si="1"/>
        <v>3500</v>
      </c>
    </row>
    <row r="5">
      <c r="A5" s="1"/>
      <c r="B5" s="1"/>
      <c r="C5" s="1" t="s">
        <v>19</v>
      </c>
      <c r="D5" s="1">
        <f t="shared" ref="D5:E5" si="2">SUM(D3:D4)</f>
        <v>31000</v>
      </c>
      <c r="E5" s="1">
        <f t="shared" si="2"/>
        <v>31000</v>
      </c>
      <c r="F5" s="1"/>
      <c r="G5" s="1" t="s">
        <v>24</v>
      </c>
      <c r="H5" s="1">
        <f t="shared" si="1"/>
        <v>3500</v>
      </c>
    </row>
    <row r="6">
      <c r="A6" s="1"/>
      <c r="B6" s="1"/>
      <c r="C6" s="1"/>
      <c r="D6" s="1"/>
      <c r="E6" s="1"/>
      <c r="F6" s="1"/>
      <c r="G6" s="1" t="s">
        <v>66</v>
      </c>
      <c r="H6" s="1">
        <f>SUM(D28)</f>
        <v>3000</v>
      </c>
    </row>
    <row r="7">
      <c r="A7" s="1"/>
      <c r="B7" s="1"/>
      <c r="C7" s="1"/>
      <c r="D7" s="1"/>
      <c r="E7" s="1"/>
      <c r="F7" s="1"/>
      <c r="G7" s="1" t="s">
        <v>13</v>
      </c>
      <c r="H7" s="1">
        <f>SUM(D25,D45)</f>
        <v>15000</v>
      </c>
    </row>
    <row r="8">
      <c r="A8" s="1" t="s">
        <v>26</v>
      </c>
      <c r="B8" s="1" t="s">
        <v>27</v>
      </c>
      <c r="C8" s="1" t="s">
        <v>9</v>
      </c>
      <c r="D8" s="1">
        <v>3000.0</v>
      </c>
      <c r="E8" s="1">
        <f t="shared" ref="E8:E9" si="3">D8*70/100+D8</f>
        <v>5100</v>
      </c>
      <c r="F8" s="1"/>
      <c r="G8" s="1" t="s">
        <v>67</v>
      </c>
      <c r="H8" s="1">
        <f>D27</f>
        <v>3000</v>
      </c>
    </row>
    <row r="9">
      <c r="A9" s="1"/>
      <c r="B9" s="1" t="s">
        <v>29</v>
      </c>
      <c r="C9" s="1" t="s">
        <v>9</v>
      </c>
      <c r="D9" s="1">
        <v>2000.0</v>
      </c>
      <c r="E9" s="1">
        <f t="shared" si="3"/>
        <v>3400</v>
      </c>
      <c r="F9" s="1"/>
      <c r="G9" s="1" t="s">
        <v>88</v>
      </c>
      <c r="H9" s="1">
        <f>SUM(D26)</f>
        <v>3000</v>
      </c>
    </row>
    <row r="10">
      <c r="A10" s="1"/>
      <c r="B10" s="1" t="s">
        <v>31</v>
      </c>
      <c r="C10" s="1" t="s">
        <v>89</v>
      </c>
      <c r="D10" s="1">
        <v>1000.0</v>
      </c>
      <c r="E10" s="1">
        <f>D10*50/100+D10</f>
        <v>1500</v>
      </c>
      <c r="F10" s="1"/>
      <c r="G10" s="1" t="s">
        <v>69</v>
      </c>
      <c r="H10" s="1">
        <f>SUM(D34)</f>
        <v>3000</v>
      </c>
    </row>
    <row r="11">
      <c r="A11" s="1"/>
      <c r="B11" s="1"/>
      <c r="C11" s="1"/>
      <c r="D11" s="7">
        <f t="shared" ref="D11:E11" si="4">SUM(D8:D10)</f>
        <v>6000</v>
      </c>
      <c r="E11" s="7">
        <f t="shared" si="4"/>
        <v>10000</v>
      </c>
      <c r="F11" s="1"/>
      <c r="G11" s="1" t="s">
        <v>89</v>
      </c>
      <c r="H11" s="1">
        <f>SUM(D10,D33)</f>
        <v>4500</v>
      </c>
    </row>
    <row r="12">
      <c r="A12" s="1"/>
      <c r="B12" s="1"/>
      <c r="C12" s="1"/>
      <c r="D12" s="1"/>
      <c r="E12" s="1"/>
      <c r="F12" s="1"/>
      <c r="G12" s="1" t="s">
        <v>72</v>
      </c>
      <c r="H12" s="1">
        <f>SUM(D32)</f>
        <v>3000</v>
      </c>
    </row>
    <row r="13">
      <c r="A13" s="1" t="s">
        <v>34</v>
      </c>
      <c r="B13" s="1" t="s">
        <v>35</v>
      </c>
      <c r="C13" s="1" t="s">
        <v>13</v>
      </c>
      <c r="D13" s="13">
        <v>2500.0</v>
      </c>
      <c r="E13" s="13">
        <f t="shared" ref="E13:E14" si="5">D13*50/100+D13</f>
        <v>3750</v>
      </c>
      <c r="F13" s="1"/>
      <c r="G13" s="1" t="s">
        <v>73</v>
      </c>
      <c r="H13" s="1">
        <v>3000.0</v>
      </c>
    </row>
    <row r="14">
      <c r="A14" s="1"/>
      <c r="B14" s="1" t="s">
        <v>29</v>
      </c>
      <c r="C14" s="1" t="s">
        <v>9</v>
      </c>
      <c r="D14" s="13">
        <v>1000.0</v>
      </c>
      <c r="E14" s="13">
        <f t="shared" si="5"/>
        <v>1500</v>
      </c>
      <c r="F14" s="1"/>
      <c r="G14" s="1" t="s">
        <v>74</v>
      </c>
      <c r="H14" s="1">
        <v>3000.0</v>
      </c>
    </row>
    <row r="15">
      <c r="A15" s="1"/>
      <c r="B15" s="1" t="s">
        <v>31</v>
      </c>
      <c r="C15" s="1" t="s">
        <v>70</v>
      </c>
      <c r="D15" s="13">
        <v>1000.0</v>
      </c>
      <c r="E15" s="13">
        <v>1500.0</v>
      </c>
      <c r="F15" s="1"/>
      <c r="G15" s="1" t="s">
        <v>12</v>
      </c>
      <c r="H15" s="1">
        <f>SUM(D3:D4)</f>
        <v>31000</v>
      </c>
    </row>
    <row r="16">
      <c r="A16" s="1"/>
      <c r="B16" s="1" t="s">
        <v>75</v>
      </c>
      <c r="C16" s="1" t="s">
        <v>66</v>
      </c>
      <c r="D16" s="13">
        <v>1000.0</v>
      </c>
      <c r="E16" s="13">
        <v>1500.0</v>
      </c>
      <c r="F16" s="1"/>
      <c r="G16" s="1"/>
      <c r="H16" s="1">
        <f>SUM(H2:H15)</f>
        <v>90500</v>
      </c>
    </row>
    <row r="17">
      <c r="A17" s="1"/>
      <c r="B17" s="1" t="s">
        <v>48</v>
      </c>
      <c r="C17" s="1" t="s">
        <v>15</v>
      </c>
      <c r="D17" s="13">
        <v>1000.0</v>
      </c>
      <c r="E17" s="13">
        <v>1500.0</v>
      </c>
      <c r="F17" s="1"/>
      <c r="G17" s="1"/>
      <c r="H17" s="1"/>
    </row>
    <row r="18">
      <c r="A18" s="1"/>
      <c r="B18" s="1" t="s">
        <v>49</v>
      </c>
      <c r="C18" s="1" t="s">
        <v>15</v>
      </c>
      <c r="D18" s="13">
        <v>1000.0</v>
      </c>
      <c r="E18" s="13">
        <v>1500.0</v>
      </c>
      <c r="F18" s="1"/>
      <c r="G18" s="1"/>
      <c r="H18" s="1"/>
    </row>
    <row r="19">
      <c r="A19" s="1"/>
      <c r="B19" s="1" t="s">
        <v>31</v>
      </c>
      <c r="C19" s="1" t="s">
        <v>32</v>
      </c>
      <c r="D19" s="13">
        <v>1000.0</v>
      </c>
      <c r="E19" s="13">
        <v>1500.0</v>
      </c>
      <c r="F19" s="1"/>
      <c r="G19" s="1"/>
      <c r="H19" s="1"/>
    </row>
    <row r="20">
      <c r="A20" s="1"/>
      <c r="B20" s="1" t="s">
        <v>38</v>
      </c>
      <c r="C20" s="1" t="s">
        <v>76</v>
      </c>
      <c r="D20" s="13">
        <v>1000.0</v>
      </c>
      <c r="E20" s="13">
        <v>1500.0</v>
      </c>
      <c r="F20" s="1"/>
      <c r="G20" s="1"/>
      <c r="H20" s="1"/>
    </row>
    <row r="21" ht="15.75" customHeight="1">
      <c r="A21" s="1"/>
      <c r="B21" s="1" t="s">
        <v>41</v>
      </c>
      <c r="C21" s="1" t="s">
        <v>65</v>
      </c>
      <c r="D21" s="13">
        <v>1000.0</v>
      </c>
      <c r="E21" s="13">
        <v>1500.0</v>
      </c>
      <c r="F21" s="1"/>
      <c r="G21" s="1"/>
      <c r="H21" s="1"/>
    </row>
    <row r="22" ht="15.75" customHeight="1">
      <c r="A22" s="1"/>
      <c r="B22" s="1" t="s">
        <v>43</v>
      </c>
      <c r="C22" s="1" t="s">
        <v>24</v>
      </c>
      <c r="D22" s="13">
        <v>1000.0</v>
      </c>
      <c r="E22" s="13">
        <v>1500.0</v>
      </c>
      <c r="F22" s="1"/>
      <c r="G22" s="1"/>
      <c r="H22" s="1"/>
    </row>
    <row r="23" ht="15.75" customHeight="1">
      <c r="A23" s="1"/>
      <c r="B23" s="1"/>
      <c r="C23" s="1"/>
      <c r="D23" s="13">
        <f t="shared" ref="D23:E23" si="6">SUM(D13:D22)</f>
        <v>11500</v>
      </c>
      <c r="E23" s="13">
        <f t="shared" si="6"/>
        <v>17250</v>
      </c>
      <c r="F23" s="1"/>
      <c r="G23" s="1"/>
      <c r="H23" s="1"/>
    </row>
    <row r="24" ht="15.75" customHeight="1">
      <c r="A24" s="1"/>
      <c r="B24" s="1"/>
      <c r="C24" s="1"/>
      <c r="D24" s="7"/>
      <c r="E24" s="7"/>
      <c r="F24" s="1"/>
      <c r="G24" s="1"/>
      <c r="H24" s="1"/>
    </row>
    <row r="25" ht="15.75" customHeight="1">
      <c r="A25" s="1" t="s">
        <v>46</v>
      </c>
      <c r="B25" s="1" t="s">
        <v>35</v>
      </c>
      <c r="C25" s="1" t="s">
        <v>13</v>
      </c>
      <c r="D25" s="1">
        <v>5000.0</v>
      </c>
      <c r="E25" s="1">
        <v>6500.0</v>
      </c>
      <c r="F25" s="1"/>
      <c r="G25" s="1"/>
      <c r="H25" s="1"/>
    </row>
    <row r="26" ht="15.75" customHeight="1">
      <c r="A26" s="1"/>
      <c r="B26" s="1" t="s">
        <v>35</v>
      </c>
      <c r="C26" s="1" t="s">
        <v>15</v>
      </c>
      <c r="D26" s="1">
        <v>3000.0</v>
      </c>
      <c r="E26" s="1">
        <v>5200.0</v>
      </c>
      <c r="F26" s="1"/>
      <c r="G26" s="1"/>
      <c r="H26" s="1"/>
    </row>
    <row r="27" ht="15.75" customHeight="1">
      <c r="A27" s="1"/>
      <c r="B27" s="1" t="s">
        <v>35</v>
      </c>
      <c r="C27" s="1" t="s">
        <v>67</v>
      </c>
      <c r="D27" s="1">
        <v>3000.0</v>
      </c>
      <c r="E27" s="1">
        <v>5200.0</v>
      </c>
      <c r="F27" s="1"/>
      <c r="G27" s="1"/>
      <c r="H27" s="1"/>
    </row>
    <row r="28" ht="15.75" customHeight="1">
      <c r="A28" s="1"/>
      <c r="B28" s="1" t="s">
        <v>75</v>
      </c>
      <c r="C28" s="1" t="s">
        <v>66</v>
      </c>
      <c r="D28" s="1">
        <v>3000.0</v>
      </c>
      <c r="E28" s="1">
        <v>4550.0</v>
      </c>
      <c r="F28" s="1"/>
      <c r="G28" s="1"/>
      <c r="H28" s="1"/>
    </row>
    <row r="29" ht="15.75" customHeight="1">
      <c r="A29" s="1"/>
      <c r="B29" s="1" t="s">
        <v>29</v>
      </c>
      <c r="C29" s="1" t="s">
        <v>90</v>
      </c>
      <c r="D29" s="1">
        <v>3500.0</v>
      </c>
      <c r="E29" s="1">
        <v>4550.0</v>
      </c>
      <c r="F29" s="1"/>
      <c r="G29" s="1"/>
      <c r="H29" s="1"/>
    </row>
    <row r="30" ht="15.75" customHeight="1">
      <c r="A30" s="1"/>
      <c r="B30" s="1" t="s">
        <v>48</v>
      </c>
      <c r="C30" s="1" t="s">
        <v>15</v>
      </c>
      <c r="D30" s="1">
        <v>3000.0</v>
      </c>
      <c r="E30" s="1">
        <v>4550.0</v>
      </c>
      <c r="F30" s="1"/>
      <c r="G30" s="1"/>
      <c r="H30" s="1"/>
    </row>
    <row r="31" ht="15.75" customHeight="1">
      <c r="A31" s="1"/>
      <c r="B31" s="1" t="s">
        <v>49</v>
      </c>
      <c r="C31" s="1" t="s">
        <v>15</v>
      </c>
      <c r="D31" s="1">
        <v>3000.0</v>
      </c>
      <c r="E31" s="1">
        <v>4550.0</v>
      </c>
      <c r="F31" s="1"/>
      <c r="G31" s="1"/>
      <c r="H31" s="1"/>
    </row>
    <row r="32" ht="15.75" customHeight="1">
      <c r="A32" s="1"/>
      <c r="B32" s="1" t="s">
        <v>31</v>
      </c>
      <c r="C32" s="1" t="s">
        <v>32</v>
      </c>
      <c r="D32" s="1">
        <v>3000.0</v>
      </c>
      <c r="E32" s="1">
        <v>4550.0</v>
      </c>
      <c r="F32" s="1"/>
      <c r="G32" s="1"/>
      <c r="H32" s="1"/>
    </row>
    <row r="33" ht="15.75" customHeight="1">
      <c r="A33" s="1"/>
      <c r="B33" s="1" t="s">
        <v>31</v>
      </c>
      <c r="C33" s="1" t="s">
        <v>89</v>
      </c>
      <c r="D33" s="1">
        <v>3500.0</v>
      </c>
      <c r="E33" s="1">
        <f>D33*30/100+D33</f>
        <v>4550</v>
      </c>
      <c r="F33" s="1"/>
      <c r="G33" s="1"/>
      <c r="H33" s="1"/>
    </row>
    <row r="34" ht="15.75" customHeight="1">
      <c r="A34" s="1"/>
      <c r="B34" s="1" t="s">
        <v>50</v>
      </c>
      <c r="C34" s="1" t="s">
        <v>69</v>
      </c>
      <c r="D34" s="1">
        <v>3000.0</v>
      </c>
      <c r="E34" s="1">
        <v>5200.0</v>
      </c>
      <c r="F34" s="1"/>
      <c r="G34" s="1"/>
      <c r="H34" s="1"/>
    </row>
    <row r="35" ht="15.75" customHeight="1">
      <c r="A35" s="1"/>
      <c r="B35" s="1" t="s">
        <v>38</v>
      </c>
      <c r="C35" s="1" t="s">
        <v>76</v>
      </c>
      <c r="D35" s="1">
        <v>3500.0</v>
      </c>
      <c r="E35" s="1">
        <f t="shared" ref="E35:E37" si="7">D35*30/100+D35</f>
        <v>4550</v>
      </c>
      <c r="F35" s="1"/>
      <c r="G35" s="1"/>
      <c r="H35" s="1"/>
    </row>
    <row r="36" ht="15.75" customHeight="1">
      <c r="A36" s="1"/>
      <c r="B36" s="1" t="s">
        <v>41</v>
      </c>
      <c r="C36" s="1" t="s">
        <v>65</v>
      </c>
      <c r="D36" s="1">
        <v>3500.0</v>
      </c>
      <c r="E36" s="1">
        <f t="shared" si="7"/>
        <v>4550</v>
      </c>
      <c r="F36" s="1"/>
      <c r="G36" s="1"/>
      <c r="H36" s="1"/>
    </row>
    <row r="37" ht="15.75" customHeight="1">
      <c r="A37" s="1"/>
      <c r="B37" s="1" t="s">
        <v>43</v>
      </c>
      <c r="C37" s="1" t="s">
        <v>24</v>
      </c>
      <c r="D37" s="1">
        <v>3500.0</v>
      </c>
      <c r="E37" s="1">
        <f t="shared" si="7"/>
        <v>4550</v>
      </c>
      <c r="F37" s="1"/>
      <c r="G37" s="1"/>
      <c r="H37" s="1"/>
    </row>
    <row r="38" ht="15.75" customHeight="1">
      <c r="A38" s="1"/>
      <c r="B38" s="1"/>
      <c r="C38" s="1"/>
      <c r="D38" s="1">
        <f t="shared" ref="D38:E38" si="8">SUM(D25:D37)</f>
        <v>43500</v>
      </c>
      <c r="E38" s="1">
        <f t="shared" si="8"/>
        <v>63050</v>
      </c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 t="s">
        <v>51</v>
      </c>
      <c r="B42" s="1" t="s">
        <v>35</v>
      </c>
      <c r="C42" s="1" t="s">
        <v>12</v>
      </c>
      <c r="D42" s="1" t="s">
        <v>52</v>
      </c>
      <c r="E42" s="1" t="s">
        <v>52</v>
      </c>
      <c r="F42" s="1"/>
      <c r="G42" s="1"/>
      <c r="H42" s="1"/>
    </row>
    <row r="43" ht="15.75" customHeight="1">
      <c r="A43" s="1"/>
      <c r="B43" s="1" t="s">
        <v>14</v>
      </c>
      <c r="C43" s="1" t="s">
        <v>15</v>
      </c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 t="s">
        <v>53</v>
      </c>
      <c r="B45" s="1" t="s">
        <v>27</v>
      </c>
      <c r="C45" s="1" t="s">
        <v>13</v>
      </c>
      <c r="D45" s="1">
        <v>10000.0</v>
      </c>
      <c r="E45" s="1">
        <f>D45*20/100+D45</f>
        <v>12000</v>
      </c>
      <c r="F45" s="1"/>
      <c r="G45" s="1"/>
      <c r="H45" s="1"/>
    </row>
    <row r="46" ht="15.75" customHeight="1">
      <c r="A46" s="1"/>
      <c r="B46" s="1"/>
      <c r="C46" s="1" t="s">
        <v>54</v>
      </c>
      <c r="D46" s="1">
        <f>SUM(D5,D8:D10,D25:D37,D45)</f>
        <v>90500</v>
      </c>
      <c r="E46" s="1">
        <f>SUM(E5,E11,E38,E45)</f>
        <v>116050</v>
      </c>
      <c r="F46" s="1"/>
      <c r="G46" s="1"/>
      <c r="H46" s="1"/>
    </row>
    <row r="47" ht="15.75" customHeight="1">
      <c r="A47" s="1"/>
      <c r="B47" s="1"/>
      <c r="C47" s="1" t="s">
        <v>55</v>
      </c>
      <c r="D47" s="1">
        <v>3000.0</v>
      </c>
      <c r="E47" s="1">
        <v>3000.0</v>
      </c>
      <c r="F47" s="1"/>
      <c r="G47" s="1"/>
      <c r="H47" s="1"/>
    </row>
    <row r="48" ht="15.75" customHeight="1">
      <c r="A48" s="1"/>
      <c r="B48" s="1"/>
      <c r="C48" s="1" t="s">
        <v>56</v>
      </c>
      <c r="D48" s="1">
        <v>6000.0</v>
      </c>
      <c r="E48" s="1">
        <v>6000.0</v>
      </c>
      <c r="F48" s="1"/>
      <c r="G48" s="1"/>
      <c r="H48" s="1"/>
    </row>
    <row r="49" ht="15.75" customHeight="1">
      <c r="A49" s="1"/>
      <c r="B49" s="1"/>
      <c r="C49" s="1" t="s">
        <v>44</v>
      </c>
      <c r="D49" s="1">
        <f t="shared" ref="D49:E49" si="9">SUM(D46:D48)</f>
        <v>99500</v>
      </c>
      <c r="E49" s="1">
        <f t="shared" si="9"/>
        <v>125050</v>
      </c>
      <c r="F49" s="1"/>
      <c r="G49" s="1"/>
      <c r="H49" s="1"/>
    </row>
    <row r="50" ht="15.75" customHeight="1">
      <c r="A50" s="1" t="s">
        <v>57</v>
      </c>
      <c r="B50" s="1">
        <f>E49-D49</f>
        <v>25550</v>
      </c>
      <c r="C50" s="1"/>
      <c r="D50" s="1"/>
      <c r="E50" s="1"/>
      <c r="F50" s="1"/>
      <c r="G50" s="1"/>
      <c r="H50" s="1"/>
    </row>
    <row r="51" ht="15.75" customHeight="1">
      <c r="A51" s="1" t="s">
        <v>58</v>
      </c>
      <c r="B51" s="1">
        <f>E46*20/100</f>
        <v>23210</v>
      </c>
      <c r="C51" s="1"/>
      <c r="D51" s="1"/>
      <c r="E51" s="1"/>
      <c r="F51" s="1"/>
      <c r="G51" s="1"/>
      <c r="H51" s="1"/>
    </row>
    <row r="52" ht="15.75" customHeight="1">
      <c r="A52" s="1" t="s">
        <v>59</v>
      </c>
      <c r="B52" s="1">
        <f>SUM(B50:B51)</f>
        <v>48760</v>
      </c>
      <c r="C52" s="1"/>
      <c r="D52" s="1"/>
      <c r="E52" s="1"/>
      <c r="F52" s="1"/>
      <c r="G52" s="1"/>
      <c r="H52" s="1"/>
    </row>
    <row r="53" ht="15.75" customHeight="1">
      <c r="A53" s="1" t="s">
        <v>60</v>
      </c>
      <c r="B53" s="1">
        <f>B52*20/100</f>
        <v>9752</v>
      </c>
      <c r="C53" s="1"/>
      <c r="D53" s="1"/>
      <c r="E53" s="1"/>
      <c r="F53" s="1"/>
      <c r="G53" s="1"/>
      <c r="H53" s="1"/>
    </row>
    <row r="54" ht="15.75" customHeight="1">
      <c r="A54" s="1" t="s">
        <v>61</v>
      </c>
      <c r="B54" s="1">
        <f>B52-B53</f>
        <v>39008</v>
      </c>
      <c r="C54" s="1"/>
      <c r="D54" s="1"/>
      <c r="E54" s="1"/>
      <c r="F54" s="1"/>
      <c r="G54" s="1"/>
      <c r="H54" s="1"/>
    </row>
    <row r="55" ht="15.75" customHeight="1">
      <c r="A55" s="1" t="s">
        <v>62</v>
      </c>
      <c r="B55" s="1">
        <f>SUM(E49,B51)</f>
        <v>148260</v>
      </c>
      <c r="C55" s="1"/>
      <c r="D55" s="1"/>
      <c r="E55" s="1"/>
      <c r="F55" s="1"/>
      <c r="G55" s="1"/>
      <c r="H55" s="1"/>
    </row>
    <row r="56" ht="15.75" customHeight="1">
      <c r="A56" s="1" t="s">
        <v>86</v>
      </c>
      <c r="B56" s="1">
        <f>B55*15/100</f>
        <v>22239</v>
      </c>
      <c r="C56" s="1"/>
      <c r="D56" s="1"/>
      <c r="E56" s="1"/>
      <c r="F56" s="1"/>
      <c r="G56" s="1"/>
      <c r="H56" s="1"/>
    </row>
    <row r="57" ht="15.75" customHeight="1">
      <c r="A57" s="1" t="s">
        <v>87</v>
      </c>
      <c r="B57" s="1">
        <f>SUM(B55:B56)</f>
        <v>170499</v>
      </c>
      <c r="C57" s="1"/>
      <c r="D57" s="1"/>
      <c r="E57" s="1"/>
      <c r="F57" s="1"/>
      <c r="G57" s="1"/>
      <c r="H57" s="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2020-05-27T11:20:51Z</dcterms:created>
  <dc:creator>Daniela Marano</dc:creator>
</cp:coreProperties>
</file>