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<sst xmlns="http://schemas.openxmlformats.org/spreadsheetml/2006/main" count="63" uniqueCount="45">
  <si>
    <t>Set</t>
  </si>
  <si>
    <t xml:space="preserve">Musician Type </t>
  </si>
  <si>
    <t xml:space="preserve">Musician Name </t>
  </si>
  <si>
    <t>Rate</t>
  </si>
  <si>
    <t>Quoted Rate</t>
  </si>
  <si>
    <t xml:space="preserve">Chuppah </t>
  </si>
  <si>
    <t xml:space="preserve">Chazzan </t>
  </si>
  <si>
    <t xml:space="preserve">Nathan Sklair </t>
  </si>
  <si>
    <t>Pre-drinks:</t>
  </si>
  <si>
    <t>DJ</t>
  </si>
  <si>
    <t>Rus Nerwich</t>
  </si>
  <si>
    <t>Marimba Trio</t>
  </si>
  <si>
    <t>Il Afro Suns</t>
  </si>
  <si>
    <t xml:space="preserve">Trumpet </t>
  </si>
  <si>
    <t>TBC</t>
  </si>
  <si>
    <t xml:space="preserve">Horas </t>
  </si>
  <si>
    <t xml:space="preserve">Vocals </t>
  </si>
  <si>
    <t xml:space="preserve">Nathan Ambach </t>
  </si>
  <si>
    <t xml:space="preserve">Saxophone </t>
  </si>
  <si>
    <t xml:space="preserve">Rus Nerwich </t>
  </si>
  <si>
    <t xml:space="preserve">Keys </t>
  </si>
  <si>
    <t xml:space="preserve">Andrew Ford </t>
  </si>
  <si>
    <t xml:space="preserve">Bass </t>
  </si>
  <si>
    <t xml:space="preserve">Nicholas Williams </t>
  </si>
  <si>
    <t xml:space="preserve">Drums </t>
  </si>
  <si>
    <t xml:space="preserve">Kevin Gibson </t>
  </si>
  <si>
    <t xml:space="preserve">Dinner: Option One </t>
  </si>
  <si>
    <t xml:space="preserve">DJ </t>
  </si>
  <si>
    <t xml:space="preserve">Dinner: Option Two </t>
  </si>
  <si>
    <t>Kevin Gibson</t>
  </si>
  <si>
    <t xml:space="preserve">Dance: </t>
  </si>
  <si>
    <t>Vocals</t>
  </si>
  <si>
    <t xml:space="preserve">Francesca Biancoli </t>
  </si>
  <si>
    <t xml:space="preserve">Guitar </t>
  </si>
  <si>
    <t xml:space="preserve">Angelo Syster </t>
  </si>
  <si>
    <t>Party</t>
  </si>
  <si>
    <t xml:space="preserve">Total musician expense </t>
  </si>
  <si>
    <t xml:space="preserve">Coordination </t>
  </si>
  <si>
    <t xml:space="preserve">Total expense </t>
  </si>
  <si>
    <t>Built in commission</t>
  </si>
  <si>
    <t>Booking fee - 20%</t>
  </si>
  <si>
    <t xml:space="preserve">Total commission </t>
  </si>
  <si>
    <t>Dani</t>
  </si>
  <si>
    <t>TON</t>
  </si>
  <si>
    <t xml:space="preserve">Total excluding VAT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</si>
</sst>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10500.0</v>
      </c>
      <c r="E2" s="1">
        <v>10500.0</v>
      </c>
    </row>
    <row r="3">
      <c r="A3" s="1" t="s">
        <v>8</v>
      </c>
      <c r="B3" s="1" t="s">
        <v>9</v>
      </c>
      <c r="C3" s="1" t="s">
        <v>10</v>
      </c>
      <c r="D3" s="1">
        <v>5000.0</v>
      </c>
      <c r="E3" s="1">
        <v>7500.0</v>
      </c>
    </row>
    <row r="4">
      <c r="B4" s="1" t="s">
        <v>11</v>
      </c>
      <c r="C4" s="1" t="s">
        <v>12</v>
      </c>
      <c r="D4" s="1">
        <v>4500.0</v>
      </c>
      <c r="E4" s="1">
        <v>6750.0</v>
      </c>
    </row>
    <row r="5">
      <c r="B5" s="1" t="s">
        <v>13</v>
      </c>
      <c r="C5" s="1" t="s">
        <v>14</v>
      </c>
      <c r="D5" s="1">
        <v>3000.0</v>
      </c>
      <c r="E5" s="1">
        <f>D5*50/100+D5</f>
        <v>4500</v>
      </c>
    </row>
    <row r="8">
      <c r="A8" s="1" t="s">
        <v>15</v>
      </c>
      <c r="B8" s="1" t="s">
        <v>16</v>
      </c>
      <c r="C8" s="1" t="s">
        <v>17</v>
      </c>
      <c r="D8" s="1">
        <v>2500.0</v>
      </c>
      <c r="E8" s="2">
        <f t="shared" ref="E8:E12" si="1">D8*50/100+D8</f>
        <v>3750</v>
      </c>
    </row>
    <row r="9">
      <c r="A9" s="1"/>
      <c r="B9" s="1" t="s">
        <v>18</v>
      </c>
      <c r="C9" s="1" t="s">
        <v>19</v>
      </c>
      <c r="D9" s="1">
        <v>1500.0</v>
      </c>
      <c r="E9" s="2">
        <f t="shared" si="1"/>
        <v>2250</v>
      </c>
    </row>
    <row r="10">
      <c r="A10" s="1"/>
      <c r="B10" s="1" t="s">
        <v>20</v>
      </c>
      <c r="C10" s="1" t="s">
        <v>21</v>
      </c>
      <c r="D10" s="1">
        <v>1500.0</v>
      </c>
      <c r="E10" s="2">
        <f t="shared" si="1"/>
        <v>2250</v>
      </c>
    </row>
    <row r="11">
      <c r="A11" s="1"/>
      <c r="B11" s="1" t="s">
        <v>22</v>
      </c>
      <c r="C11" s="1" t="s">
        <v>23</v>
      </c>
      <c r="D11" s="1">
        <v>1500.0</v>
      </c>
      <c r="E11" s="2">
        <f t="shared" si="1"/>
        <v>2250</v>
      </c>
    </row>
    <row r="12">
      <c r="A12" s="1"/>
      <c r="B12" s="1" t="s">
        <v>24</v>
      </c>
      <c r="C12" s="1" t="s">
        <v>25</v>
      </c>
      <c r="D12" s="1">
        <v>1500.0</v>
      </c>
      <c r="E12" s="2">
        <f t="shared" si="1"/>
        <v>2250</v>
      </c>
    </row>
    <row r="13">
      <c r="A13" s="1"/>
      <c r="B13" s="1"/>
      <c r="C13" s="1"/>
      <c r="D13" s="2">
        <f t="shared" ref="D13:E13" si="2">SUM(D8:D12)</f>
        <v>8500</v>
      </c>
      <c r="E13" s="2">
        <f t="shared" si="2"/>
        <v>12750</v>
      </c>
    </row>
    <row r="14">
      <c r="A14" s="1"/>
      <c r="B14" s="1"/>
      <c r="C14" s="1"/>
    </row>
    <row r="15">
      <c r="A15" s="1" t="s">
        <v>26</v>
      </c>
      <c r="B15" s="1" t="s">
        <v>27</v>
      </c>
      <c r="C15" s="1" t="s">
        <v>19</v>
      </c>
      <c r="D15" s="1">
        <v>3000.0</v>
      </c>
      <c r="E15" s="2">
        <f>D15*50/100+D15</f>
        <v>4500</v>
      </c>
    </row>
    <row r="17">
      <c r="A17" s="1" t="s">
        <v>28</v>
      </c>
      <c r="B17" s="1" t="s">
        <v>18</v>
      </c>
      <c r="C17" s="1" t="s">
        <v>10</v>
      </c>
      <c r="D17" s="1">
        <v>2000.0</v>
      </c>
      <c r="E17" s="2">
        <f t="shared" ref="E17:E20" si="3">D17*50/100+D17</f>
        <v>3000</v>
      </c>
    </row>
    <row r="18">
      <c r="B18" s="1" t="s">
        <v>20</v>
      </c>
      <c r="C18" s="1" t="s">
        <v>21</v>
      </c>
      <c r="D18" s="1">
        <v>2000.0</v>
      </c>
      <c r="E18" s="2">
        <f t="shared" si="3"/>
        <v>3000</v>
      </c>
    </row>
    <row r="19">
      <c r="B19" s="1" t="s">
        <v>22</v>
      </c>
      <c r="C19" s="1" t="s">
        <v>23</v>
      </c>
      <c r="D19" s="1">
        <v>2000.0</v>
      </c>
      <c r="E19" s="2">
        <f t="shared" si="3"/>
        <v>3000</v>
      </c>
    </row>
    <row r="20">
      <c r="B20" s="1" t="s">
        <v>24</v>
      </c>
      <c r="C20" s="1" t="s">
        <v>29</v>
      </c>
      <c r="D20" s="1">
        <v>2000.0</v>
      </c>
      <c r="E20" s="2">
        <f t="shared" si="3"/>
        <v>3000</v>
      </c>
    </row>
    <row r="21">
      <c r="D21" s="2">
        <f t="shared" ref="D21:E21" si="4">SUM(D17:D20)</f>
        <v>8000</v>
      </c>
      <c r="E21" s="2">
        <f t="shared" si="4"/>
        <v>12000</v>
      </c>
    </row>
    <row r="22">
      <c r="A22" s="1"/>
      <c r="B22" s="1"/>
      <c r="C22" s="1"/>
      <c r="D22" s="1"/>
    </row>
    <row r="23">
      <c r="A23" s="1" t="s">
        <v>30</v>
      </c>
      <c r="B23" s="1" t="s">
        <v>31</v>
      </c>
      <c r="C23" s="1" t="s">
        <v>17</v>
      </c>
      <c r="D23" s="1">
        <v>5000.0</v>
      </c>
      <c r="E23" s="2">
        <f>D23*50/100+D23</f>
        <v>7500</v>
      </c>
    </row>
    <row r="24">
      <c r="B24" s="1" t="s">
        <v>31</v>
      </c>
      <c r="C24" s="1" t="s">
        <v>32</v>
      </c>
      <c r="D24" s="1">
        <v>4000.0</v>
      </c>
      <c r="E24" s="1">
        <v>4500.0</v>
      </c>
    </row>
    <row r="25">
      <c r="B25" s="1" t="s">
        <v>33</v>
      </c>
      <c r="C25" s="1" t="s">
        <v>34</v>
      </c>
      <c r="D25" s="1">
        <v>4000.0</v>
      </c>
      <c r="E25" s="1">
        <v>4500.0</v>
      </c>
    </row>
    <row r="26">
      <c r="B26" s="1" t="s">
        <v>20</v>
      </c>
      <c r="C26" s="1" t="s">
        <v>21</v>
      </c>
      <c r="D26" s="1">
        <v>4000.0</v>
      </c>
      <c r="E26" s="1">
        <v>4500.0</v>
      </c>
    </row>
    <row r="27">
      <c r="B27" s="1" t="s">
        <v>22</v>
      </c>
      <c r="C27" s="1" t="s">
        <v>23</v>
      </c>
      <c r="D27" s="1">
        <v>4000.0</v>
      </c>
      <c r="E27" s="1">
        <v>4500.0</v>
      </c>
    </row>
    <row r="28">
      <c r="B28" s="1" t="s">
        <v>24</v>
      </c>
      <c r="C28" s="1" t="s">
        <v>25</v>
      </c>
      <c r="D28" s="1">
        <v>4000.0</v>
      </c>
      <c r="E28" s="1">
        <v>4500.0</v>
      </c>
    </row>
    <row r="29">
      <c r="D29" s="2">
        <f t="shared" ref="D29:E29" si="5">SUM(D23:D28)</f>
        <v>25000</v>
      </c>
      <c r="E29" s="2">
        <f t="shared" si="5"/>
        <v>30000</v>
      </c>
    </row>
    <row r="31">
      <c r="A31" s="1" t="s">
        <v>35</v>
      </c>
      <c r="B31" s="1" t="s">
        <v>27</v>
      </c>
      <c r="C31" s="1" t="s">
        <v>17</v>
      </c>
      <c r="D31" s="1">
        <v>12500.0</v>
      </c>
      <c r="E31" s="2">
        <f>D31*20/100+D31</f>
        <v>15000</v>
      </c>
    </row>
    <row r="33">
      <c r="C33" s="1" t="s">
        <v>36</v>
      </c>
      <c r="D33" s="1">
        <f t="shared" ref="D33:E33" si="6">SUM(D2:D4,D13,D15,D29,D31)</f>
        <v>69000</v>
      </c>
      <c r="E33" s="2">
        <f t="shared" si="6"/>
        <v>87000</v>
      </c>
    </row>
    <row r="34">
      <c r="C34" s="1" t="s">
        <v>37</v>
      </c>
      <c r="D34" s="1">
        <v>3000.0</v>
      </c>
      <c r="E34" s="1">
        <v>3000.0</v>
      </c>
    </row>
    <row r="35">
      <c r="C35" s="1" t="s">
        <v>38</v>
      </c>
      <c r="D35" s="2">
        <f t="shared" ref="D35:E35" si="7">SUM(D33:D34)</f>
        <v>72000</v>
      </c>
      <c r="E35" s="2">
        <f t="shared" si="7"/>
        <v>90000</v>
      </c>
    </row>
    <row r="37">
      <c r="A37" s="1" t="s">
        <v>39</v>
      </c>
      <c r="B37" s="2">
        <f>E35-D35</f>
        <v>18000</v>
      </c>
    </row>
    <row r="38">
      <c r="A38" s="1" t="s">
        <v>40</v>
      </c>
      <c r="B38" s="2">
        <f>E33*20/100</f>
        <v>17400</v>
      </c>
    </row>
    <row r="39">
      <c r="A39" s="1" t="s">
        <v>41</v>
      </c>
      <c r="B39" s="2">
        <f>SUM(B37:B38)</f>
        <v>35400</v>
      </c>
    </row>
    <row r="40">
      <c r="A40" s="1" t="s">
        <v>42</v>
      </c>
      <c r="B40" s="2">
        <f>B39/2</f>
        <v>17700</v>
      </c>
    </row>
    <row r="41">
      <c r="A41" s="1" t="s">
        <v>43</v>
      </c>
      <c r="B41" s="2">
        <f>B39/2</f>
        <v>17700</v>
      </c>
    </row>
    <row r="42">
      <c r="A42" s="1" t="s">
        <v>44</v>
      </c>
      <c r="B42" s="2">
        <f>SUM(E35,B38)</f>
        <v>107400</v>
      </c>
    </row>
  </sheetData>
  <drawing r:id="rId1"/>
</worksheet>
</file>