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niela Marano\Documents\TON\Weddings\13 March - Vicki Nortje\"/>
    </mc:Choice>
  </mc:AlternateContent>
  <bookViews>
    <workbookView xWindow="0" yWindow="0" windowWidth="12915" windowHeight="40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" l="1"/>
  <c r="B22" i="2"/>
  <c r="B26" i="2" s="1"/>
  <c r="B21" i="2"/>
  <c r="B23" i="2" s="1"/>
  <c r="D6" i="2"/>
  <c r="E6" i="2"/>
  <c r="B11" i="2" l="1"/>
  <c r="B12" i="2"/>
  <c r="B16" i="2" s="1"/>
  <c r="B24" i="2"/>
  <c r="B25" i="2" s="1"/>
  <c r="B27" i="2"/>
  <c r="B28" i="2" s="1"/>
  <c r="B23" i="1"/>
  <c r="B17" i="2" l="1"/>
  <c r="B18" i="2" s="1"/>
  <c r="B13" i="2"/>
  <c r="B27" i="1"/>
  <c r="B22" i="1"/>
  <c r="B19" i="1"/>
  <c r="B18" i="1"/>
  <c r="B17" i="1"/>
  <c r="B16" i="1"/>
  <c r="B15" i="1"/>
  <c r="B14" i="1"/>
  <c r="B13" i="1"/>
  <c r="B12" i="1"/>
  <c r="E7" i="1"/>
  <c r="D7" i="1"/>
  <c r="E4" i="1"/>
  <c r="E5" i="1"/>
  <c r="E6" i="1"/>
  <c r="E3" i="1"/>
  <c r="B14" i="2" l="1"/>
  <c r="B15" i="2" s="1"/>
  <c r="B24" i="1"/>
  <c r="B25" i="1"/>
  <c r="B26" i="1"/>
  <c r="B28" i="1"/>
  <c r="B29" i="1" s="1"/>
</calcChain>
</file>

<file path=xl/sharedStrings.xml><?xml version="1.0" encoding="utf-8"?>
<sst xmlns="http://schemas.openxmlformats.org/spreadsheetml/2006/main" count="70" uniqueCount="27">
  <si>
    <t xml:space="preserve">Budget - 13 March 2021 </t>
  </si>
  <si>
    <t>Set</t>
  </si>
  <si>
    <t xml:space="preserve">Musician Type </t>
  </si>
  <si>
    <t xml:space="preserve">Musician Name </t>
  </si>
  <si>
    <t xml:space="preserve">Rate </t>
  </si>
  <si>
    <t xml:space="preserve">Quoted Rate </t>
  </si>
  <si>
    <t>Keys</t>
  </si>
  <si>
    <t>Saxophone</t>
  </si>
  <si>
    <t>Bass</t>
  </si>
  <si>
    <t xml:space="preserve">Drums </t>
  </si>
  <si>
    <t xml:space="preserve">Andrew Ford </t>
  </si>
  <si>
    <t xml:space="preserve">Rus Nerwich </t>
  </si>
  <si>
    <t xml:space="preserve">Nicholas Williams </t>
  </si>
  <si>
    <t xml:space="preserve">Kevin Gibson </t>
  </si>
  <si>
    <t xml:space="preserve">Pre-drinks: Jazz quartet </t>
  </si>
  <si>
    <t xml:space="preserve">Pre-drinks: Vinyl set </t>
  </si>
  <si>
    <t xml:space="preserve">DJ </t>
  </si>
  <si>
    <t>Option One</t>
  </si>
  <si>
    <t xml:space="preserve">Built in commission </t>
  </si>
  <si>
    <t>Booking fee - 20%</t>
  </si>
  <si>
    <t xml:space="preserve">Total commission </t>
  </si>
  <si>
    <t xml:space="preserve">Dani commission </t>
  </si>
  <si>
    <t xml:space="preserve">TON commission </t>
  </si>
  <si>
    <t xml:space="preserve">Total excluding VAT </t>
  </si>
  <si>
    <t xml:space="preserve">VAT </t>
  </si>
  <si>
    <t xml:space="preserve">Total including VAT </t>
  </si>
  <si>
    <t xml:space="preserve">Option Two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</si>
</sst>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E6" sqref="E6"/>
    </sheetView>
  </sheetViews>
  <sheetFormatPr defaultRowHeight="15" x14ac:dyDescent="0.25"/>
  <cols>
    <col min="1" max="1" width="23" bestFit="1" customWidth="1"/>
    <col min="2" max="2" width="14.140625" bestFit="1" customWidth="1"/>
    <col min="3" max="3" width="17.42578125" bestFit="1" customWidth="1"/>
    <col min="5" max="5" width="12.5703125" bestFit="1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1" t="s">
        <v>14</v>
      </c>
      <c r="B3" s="1" t="s">
        <v>6</v>
      </c>
      <c r="C3" s="1" t="s">
        <v>10</v>
      </c>
      <c r="D3" s="1">
        <v>3000</v>
      </c>
      <c r="E3" s="1">
        <f>D3*50/100+D3</f>
        <v>4500</v>
      </c>
    </row>
    <row r="4" spans="1:5" x14ac:dyDescent="0.25">
      <c r="A4" s="1"/>
      <c r="B4" s="1" t="s">
        <v>7</v>
      </c>
      <c r="C4" s="1" t="s">
        <v>11</v>
      </c>
      <c r="D4" s="1">
        <v>3000</v>
      </c>
      <c r="E4" s="1">
        <f t="shared" ref="E4:E6" si="0">D4*50/100+D4</f>
        <v>4500</v>
      </c>
    </row>
    <row r="5" spans="1:5" x14ac:dyDescent="0.25">
      <c r="A5" s="1"/>
      <c r="B5" s="1" t="s">
        <v>8</v>
      </c>
      <c r="C5" s="1" t="s">
        <v>12</v>
      </c>
      <c r="D5" s="1">
        <v>3000</v>
      </c>
      <c r="E5" s="1">
        <f t="shared" si="0"/>
        <v>4500</v>
      </c>
    </row>
    <row r="6" spans="1:5" x14ac:dyDescent="0.25">
      <c r="A6" s="1"/>
      <c r="B6" s="1" t="s">
        <v>9</v>
      </c>
      <c r="C6" s="1" t="s">
        <v>13</v>
      </c>
      <c r="D6" s="1">
        <v>3000</v>
      </c>
      <c r="E6" s="1">
        <f t="shared" si="0"/>
        <v>4500</v>
      </c>
    </row>
    <row r="7" spans="1:5" x14ac:dyDescent="0.25">
      <c r="A7" s="1"/>
      <c r="B7" s="1"/>
      <c r="C7" s="1"/>
      <c r="D7" s="1">
        <f>SUM(D3:D6)</f>
        <v>12000</v>
      </c>
      <c r="E7" s="1">
        <f>SUM(E3:E6)</f>
        <v>18000</v>
      </c>
    </row>
    <row r="8" spans="1:5" x14ac:dyDescent="0.25">
      <c r="A8" s="1"/>
      <c r="B8" s="1"/>
      <c r="C8" s="1"/>
      <c r="D8" s="1"/>
      <c r="E8" s="1"/>
    </row>
    <row r="9" spans="1:5" x14ac:dyDescent="0.25">
      <c r="A9" s="1" t="s">
        <v>15</v>
      </c>
      <c r="B9" s="1" t="s">
        <v>16</v>
      </c>
      <c r="C9" s="1" t="s">
        <v>11</v>
      </c>
      <c r="D9" s="1">
        <v>10000</v>
      </c>
      <c r="E9" s="1">
        <v>12000</v>
      </c>
    </row>
    <row r="10" spans="1:5" x14ac:dyDescent="0.25">
      <c r="A10" s="1"/>
      <c r="B10" s="1"/>
      <c r="C10" s="1"/>
      <c r="D10" s="1"/>
      <c r="E10" s="1"/>
    </row>
    <row r="11" spans="1:5" x14ac:dyDescent="0.25">
      <c r="A11" s="1" t="s">
        <v>17</v>
      </c>
      <c r="B11" s="1"/>
      <c r="C11" s="1"/>
      <c r="D11" s="1"/>
      <c r="E11" s="1"/>
    </row>
    <row r="12" spans="1:5" x14ac:dyDescent="0.25">
      <c r="A12" s="1" t="s">
        <v>18</v>
      </c>
      <c r="B12" s="1">
        <f>E7-D7</f>
        <v>6000</v>
      </c>
      <c r="C12" s="1"/>
      <c r="D12" s="1"/>
      <c r="E12" s="1"/>
    </row>
    <row r="13" spans="1:5" x14ac:dyDescent="0.25">
      <c r="A13" s="1" t="s">
        <v>19</v>
      </c>
      <c r="B13" s="1">
        <f>E7*20/100</f>
        <v>3600</v>
      </c>
      <c r="C13" s="1"/>
      <c r="D13" s="1"/>
      <c r="E13" s="1"/>
    </row>
    <row r="14" spans="1:5" x14ac:dyDescent="0.25">
      <c r="A14" s="1" t="s">
        <v>20</v>
      </c>
      <c r="B14" s="1">
        <f>SUM(B12:B13)</f>
        <v>9600</v>
      </c>
      <c r="C14" s="1"/>
      <c r="D14" s="1"/>
      <c r="E14" s="1"/>
    </row>
    <row r="15" spans="1:5" x14ac:dyDescent="0.25">
      <c r="A15" s="1" t="s">
        <v>21</v>
      </c>
      <c r="B15" s="1">
        <f>B14*20/100</f>
        <v>1920</v>
      </c>
      <c r="C15" s="1"/>
      <c r="D15" s="1"/>
      <c r="E15" s="1"/>
    </row>
    <row r="16" spans="1:5" x14ac:dyDescent="0.25">
      <c r="A16" s="1" t="s">
        <v>22</v>
      </c>
      <c r="B16" s="1">
        <f>B14-B15</f>
        <v>7680</v>
      </c>
      <c r="C16" s="1"/>
      <c r="D16" s="1"/>
      <c r="E16" s="1"/>
    </row>
    <row r="17" spans="1:5" x14ac:dyDescent="0.25">
      <c r="A17" s="1" t="s">
        <v>23</v>
      </c>
      <c r="B17" s="1">
        <f>SUM(E7,B13)</f>
        <v>21600</v>
      </c>
      <c r="C17" s="1"/>
      <c r="D17" s="1"/>
      <c r="E17" s="1"/>
    </row>
    <row r="18" spans="1:5" x14ac:dyDescent="0.25">
      <c r="A18" s="1" t="s">
        <v>24</v>
      </c>
      <c r="B18" s="1">
        <f>B17*15/100</f>
        <v>3240</v>
      </c>
      <c r="C18" s="1"/>
      <c r="D18" s="1"/>
      <c r="E18" s="1"/>
    </row>
    <row r="19" spans="1:5" x14ac:dyDescent="0.25">
      <c r="A19" s="1" t="s">
        <v>25</v>
      </c>
      <c r="B19" s="1">
        <f>SUM(B17:B18)</f>
        <v>24840</v>
      </c>
      <c r="C19" s="1"/>
      <c r="D19" s="1"/>
      <c r="E19" s="1"/>
    </row>
    <row r="20" spans="1:5" x14ac:dyDescent="0.25">
      <c r="A20" s="1"/>
      <c r="B20" s="1"/>
      <c r="C20" s="1"/>
      <c r="D20" s="1"/>
      <c r="E20" s="1"/>
    </row>
    <row r="21" spans="1:5" x14ac:dyDescent="0.25">
      <c r="A21" s="1" t="s">
        <v>26</v>
      </c>
      <c r="B21" s="1"/>
      <c r="C21" s="1"/>
      <c r="D21" s="1"/>
      <c r="E21" s="1"/>
    </row>
    <row r="22" spans="1:5" x14ac:dyDescent="0.25">
      <c r="A22" s="1" t="s">
        <v>18</v>
      </c>
      <c r="B22" s="1">
        <f>E9-D9</f>
        <v>2000</v>
      </c>
      <c r="C22" s="1"/>
      <c r="D22" s="1"/>
      <c r="E22" s="1"/>
    </row>
    <row r="23" spans="1:5" x14ac:dyDescent="0.25">
      <c r="A23" s="1" t="s">
        <v>19</v>
      </c>
      <c r="B23" s="1">
        <f>E9*20/100</f>
        <v>2400</v>
      </c>
      <c r="C23" s="1"/>
      <c r="D23" s="1"/>
      <c r="E23" s="1"/>
    </row>
    <row r="24" spans="1:5" x14ac:dyDescent="0.25">
      <c r="A24" s="1" t="s">
        <v>20</v>
      </c>
      <c r="B24" s="1">
        <f>SUM(B22:B23)</f>
        <v>4400</v>
      </c>
      <c r="C24" s="1"/>
      <c r="D24" s="1"/>
      <c r="E24" s="1"/>
    </row>
    <row r="25" spans="1:5" x14ac:dyDescent="0.25">
      <c r="A25" s="1" t="s">
        <v>21</v>
      </c>
      <c r="B25" s="1">
        <f>B24*20/100</f>
        <v>880</v>
      </c>
      <c r="C25" s="1"/>
      <c r="D25" s="1"/>
      <c r="E25" s="1"/>
    </row>
    <row r="26" spans="1:5" x14ac:dyDescent="0.25">
      <c r="A26" s="1" t="s">
        <v>22</v>
      </c>
      <c r="B26" s="1">
        <f>B24-B25</f>
        <v>3520</v>
      </c>
      <c r="C26" s="1"/>
      <c r="D26" s="1"/>
      <c r="E26" s="1"/>
    </row>
    <row r="27" spans="1:5" x14ac:dyDescent="0.25">
      <c r="A27" s="1" t="s">
        <v>23</v>
      </c>
      <c r="B27" s="1">
        <f>SUM(E9,B23)</f>
        <v>14400</v>
      </c>
      <c r="C27" s="1"/>
      <c r="D27" s="1"/>
      <c r="E27" s="1"/>
    </row>
    <row r="28" spans="1:5" x14ac:dyDescent="0.25">
      <c r="A28" s="1" t="s">
        <v>24</v>
      </c>
      <c r="B28" s="1">
        <f>B27*15/100</f>
        <v>2160</v>
      </c>
      <c r="C28" s="1"/>
      <c r="D28" s="1"/>
      <c r="E28" s="1"/>
    </row>
    <row r="29" spans="1:5" x14ac:dyDescent="0.25">
      <c r="A29" s="1" t="s">
        <v>25</v>
      </c>
      <c r="B29" s="1">
        <f>SUM(B27:B28)</f>
        <v>16560</v>
      </c>
      <c r="C29" s="1"/>
      <c r="D29" s="1"/>
      <c r="E2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workbookViewId="0">
      <selection activeCell="E6" sqref="A1:E6"/>
    </sheetView>
  </sheetViews>
  <sheetFormatPr defaultRowHeight="15" x14ac:dyDescent="0.25"/>
  <cols>
    <col min="1" max="1" width="22.42578125" bestFit="1" customWidth="1"/>
    <col min="2" max="2" width="14.140625" bestFit="1" customWidth="1"/>
    <col min="3" max="3" width="17.42578125" bestFit="1" customWidth="1"/>
    <col min="4" max="4" width="6" bestFit="1" customWidth="1"/>
    <col min="5" max="5" width="12.5703125" bestFit="1" customWidth="1"/>
  </cols>
  <sheetData>
    <row r="1" spans="1:6" x14ac:dyDescent="0.25">
      <c r="A1" s="1" t="s">
        <v>0</v>
      </c>
      <c r="B1" s="1"/>
      <c r="C1" s="1"/>
      <c r="D1" s="1"/>
      <c r="E1" s="1"/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6" x14ac:dyDescent="0.25">
      <c r="A3" s="1" t="s">
        <v>14</v>
      </c>
      <c r="B3" s="1" t="s">
        <v>7</v>
      </c>
      <c r="C3" s="1" t="s">
        <v>11</v>
      </c>
      <c r="D3" s="1">
        <v>3000</v>
      </c>
      <c r="E3" s="1">
        <v>4000</v>
      </c>
      <c r="F3">
        <f>16500/4</f>
        <v>4125</v>
      </c>
    </row>
    <row r="4" spans="1:6" x14ac:dyDescent="0.25">
      <c r="A4" s="1"/>
      <c r="B4" s="1" t="s">
        <v>8</v>
      </c>
      <c r="C4" s="1" t="s">
        <v>12</v>
      </c>
      <c r="D4" s="1">
        <v>3000</v>
      </c>
      <c r="E4" s="1">
        <v>4000</v>
      </c>
    </row>
    <row r="5" spans="1:6" x14ac:dyDescent="0.25">
      <c r="A5" s="1"/>
      <c r="B5" s="1" t="s">
        <v>9</v>
      </c>
      <c r="C5" s="1" t="s">
        <v>13</v>
      </c>
      <c r="D5" s="1">
        <v>3000</v>
      </c>
      <c r="E5" s="1">
        <v>4000</v>
      </c>
    </row>
    <row r="6" spans="1:6" x14ac:dyDescent="0.25">
      <c r="A6" s="1"/>
      <c r="B6" s="1"/>
      <c r="C6" s="1"/>
      <c r="D6" s="1">
        <f>SUM(D3:D5)</f>
        <v>9000</v>
      </c>
      <c r="E6" s="1">
        <f>SUM(E3:E5)</f>
        <v>12000</v>
      </c>
    </row>
    <row r="7" spans="1:6" x14ac:dyDescent="0.25">
      <c r="A7" s="1"/>
      <c r="B7" s="1"/>
      <c r="C7" s="1"/>
      <c r="D7" s="1"/>
      <c r="E7" s="1"/>
    </row>
    <row r="8" spans="1:6" x14ac:dyDescent="0.25">
      <c r="A8" s="1" t="s">
        <v>15</v>
      </c>
      <c r="B8" s="1" t="s">
        <v>16</v>
      </c>
      <c r="C8" s="1" t="s">
        <v>11</v>
      </c>
      <c r="D8" s="1">
        <v>10000</v>
      </c>
      <c r="E8" s="1">
        <v>12000</v>
      </c>
    </row>
    <row r="9" spans="1:6" x14ac:dyDescent="0.25">
      <c r="A9" s="1"/>
      <c r="B9" s="1"/>
      <c r="C9" s="1"/>
      <c r="D9" s="1"/>
      <c r="E9" s="1"/>
    </row>
    <row r="10" spans="1:6" x14ac:dyDescent="0.25">
      <c r="A10" s="1" t="s">
        <v>17</v>
      </c>
      <c r="B10" s="1"/>
      <c r="C10" s="1"/>
      <c r="D10" s="1"/>
      <c r="E10" s="1"/>
    </row>
    <row r="11" spans="1:6" x14ac:dyDescent="0.25">
      <c r="A11" s="1" t="s">
        <v>18</v>
      </c>
      <c r="B11" s="1">
        <f>E6-D6</f>
        <v>3000</v>
      </c>
      <c r="C11" s="1"/>
      <c r="D11" s="1"/>
      <c r="E11" s="1"/>
    </row>
    <row r="12" spans="1:6" x14ac:dyDescent="0.25">
      <c r="A12" s="1" t="s">
        <v>19</v>
      </c>
      <c r="B12" s="1">
        <f>E6*20/100</f>
        <v>2400</v>
      </c>
      <c r="C12" s="1"/>
      <c r="D12" s="1"/>
      <c r="E12" s="1"/>
    </row>
    <row r="13" spans="1:6" x14ac:dyDescent="0.25">
      <c r="A13" s="1" t="s">
        <v>20</v>
      </c>
      <c r="B13" s="1">
        <f>SUM(B11:B12)</f>
        <v>5400</v>
      </c>
      <c r="C13" s="1"/>
      <c r="D13" s="1"/>
      <c r="E13" s="1"/>
    </row>
    <row r="14" spans="1:6" x14ac:dyDescent="0.25">
      <c r="A14" s="1" t="s">
        <v>21</v>
      </c>
      <c r="B14" s="1">
        <f>B13*20/100</f>
        <v>1080</v>
      </c>
      <c r="C14" s="1"/>
      <c r="D14" s="1"/>
      <c r="E14" s="1"/>
    </row>
    <row r="15" spans="1:6" x14ac:dyDescent="0.25">
      <c r="A15" s="1" t="s">
        <v>22</v>
      </c>
      <c r="B15" s="1">
        <f>B13-B14</f>
        <v>4320</v>
      </c>
      <c r="C15" s="1"/>
      <c r="D15" s="1"/>
      <c r="E15" s="1"/>
    </row>
    <row r="16" spans="1:6" x14ac:dyDescent="0.25">
      <c r="A16" s="1" t="s">
        <v>23</v>
      </c>
      <c r="B16" s="1">
        <f>SUM(E6,B12)</f>
        <v>14400</v>
      </c>
      <c r="C16" s="1"/>
      <c r="D16" s="1"/>
      <c r="E16" s="1"/>
    </row>
    <row r="17" spans="1:5" x14ac:dyDescent="0.25">
      <c r="A17" s="1" t="s">
        <v>24</v>
      </c>
      <c r="B17" s="1">
        <f>B16*15/100</f>
        <v>2160</v>
      </c>
      <c r="C17" s="1"/>
      <c r="D17" s="1"/>
      <c r="E17" s="1"/>
    </row>
    <row r="18" spans="1:5" x14ac:dyDescent="0.25">
      <c r="A18" s="1" t="s">
        <v>25</v>
      </c>
      <c r="B18" s="1">
        <f>SUM(B16:B17)</f>
        <v>16560</v>
      </c>
      <c r="C18" s="1"/>
      <c r="D18" s="1"/>
      <c r="E18" s="1"/>
    </row>
    <row r="19" spans="1:5" x14ac:dyDescent="0.25">
      <c r="A19" s="1"/>
      <c r="B19" s="1"/>
      <c r="C19" s="1"/>
      <c r="D19" s="1"/>
      <c r="E19" s="1"/>
    </row>
    <row r="20" spans="1:5" x14ac:dyDescent="0.25">
      <c r="A20" s="1" t="s">
        <v>26</v>
      </c>
      <c r="B20" s="1"/>
      <c r="C20" s="1"/>
      <c r="D20" s="1"/>
      <c r="E20" s="1"/>
    </row>
    <row r="21" spans="1:5" x14ac:dyDescent="0.25">
      <c r="A21" s="1" t="s">
        <v>18</v>
      </c>
      <c r="B21" s="1">
        <f>E8-D8</f>
        <v>2000</v>
      </c>
      <c r="C21" s="1"/>
      <c r="D21" s="1"/>
      <c r="E21" s="1"/>
    </row>
    <row r="22" spans="1:5" x14ac:dyDescent="0.25">
      <c r="A22" s="1" t="s">
        <v>19</v>
      </c>
      <c r="B22" s="1">
        <f>E8*20/100</f>
        <v>2400</v>
      </c>
      <c r="C22" s="1"/>
      <c r="D22" s="1"/>
      <c r="E22" s="1"/>
    </row>
    <row r="23" spans="1:5" x14ac:dyDescent="0.25">
      <c r="A23" s="1" t="s">
        <v>20</v>
      </c>
      <c r="B23" s="1">
        <f>SUM(B21:B22)</f>
        <v>4400</v>
      </c>
      <c r="C23" s="1"/>
      <c r="D23" s="1"/>
      <c r="E23" s="1"/>
    </row>
    <row r="24" spans="1:5" x14ac:dyDescent="0.25">
      <c r="A24" s="1" t="s">
        <v>21</v>
      </c>
      <c r="B24" s="1">
        <f>B23*20/100</f>
        <v>880</v>
      </c>
      <c r="C24" s="1"/>
      <c r="D24" s="1"/>
      <c r="E24" s="1"/>
    </row>
    <row r="25" spans="1:5" x14ac:dyDescent="0.25">
      <c r="A25" s="1" t="s">
        <v>22</v>
      </c>
      <c r="B25" s="1">
        <f>B23-B24</f>
        <v>3520</v>
      </c>
      <c r="C25" s="1"/>
      <c r="D25" s="1"/>
      <c r="E25" s="1"/>
    </row>
    <row r="26" spans="1:5" x14ac:dyDescent="0.25">
      <c r="A26" s="1" t="s">
        <v>23</v>
      </c>
      <c r="B26" s="1">
        <f>SUM(E8,B22)</f>
        <v>14400</v>
      </c>
      <c r="C26" s="1"/>
      <c r="D26" s="1"/>
      <c r="E26" s="1"/>
    </row>
    <row r="27" spans="1:5" x14ac:dyDescent="0.25">
      <c r="A27" s="1" t="s">
        <v>24</v>
      </c>
      <c r="B27" s="1">
        <f>B26*15/100</f>
        <v>2160</v>
      </c>
      <c r="C27" s="1"/>
      <c r="D27" s="1"/>
      <c r="E27" s="1"/>
    </row>
    <row r="28" spans="1:5" x14ac:dyDescent="0.25">
      <c r="A28" s="1" t="s">
        <v>25</v>
      </c>
      <c r="B28" s="1">
        <f>SUM(B26:B27)</f>
        <v>16560</v>
      </c>
      <c r="C28" s="1"/>
      <c r="D28" s="1"/>
      <c r="E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Marano</dc:creator>
  <cp:lastModifiedBy>Daniela Marano</cp:lastModifiedBy>
  <dcterms:created xsi:type="dcterms:W3CDTF">2020-04-27T09:15:04Z</dcterms:created>
  <dcterms:modified xsi:type="dcterms:W3CDTF">2020-05-26T15:34:12Z</dcterms:modified>
</cp:coreProperties>
</file>