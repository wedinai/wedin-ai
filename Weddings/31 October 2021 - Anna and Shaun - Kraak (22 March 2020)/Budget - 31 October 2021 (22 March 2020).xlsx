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ised budget - 31 October 2" sheetId="1" r:id="rId4"/>
  </sheets>
  <definedNames/>
  <calcPr/>
  <extLst>
    <ext uri="GoogleSheetsCustomDataVersion1">
      <go:sheetsCustomData xmlns:go="http://customooxmlschemas.google.com/" r:id="rId5" roundtripDataSignature="AMtx7mhzmNWkppt/7B35Tol3DVY9UrSAsA=="/>
    </ext>
  </extLst>
</workbook>
</file>

<file path=xl/sharedStrings.xml><?xml version="1.0" encoding="utf-8"?>
<sst xmlns="http://schemas.openxmlformats.org/spreadsheetml/2006/main" count="60" uniqueCount="43">
  <si>
    <t xml:space="preserve">Budget - 22 March 2020 </t>
  </si>
  <si>
    <t xml:space="preserve">Individual Musician Rates </t>
  </si>
  <si>
    <t>Rate</t>
  </si>
  <si>
    <t xml:space="preserve">Payments made </t>
  </si>
  <si>
    <t xml:space="preserve">Balance owed </t>
  </si>
  <si>
    <t xml:space="preserve">Set </t>
  </si>
  <si>
    <t xml:space="preserve">Musician Type </t>
  </si>
  <si>
    <t xml:space="preserve">Musician Name </t>
  </si>
  <si>
    <t xml:space="preserve">Rate </t>
  </si>
  <si>
    <t xml:space="preserve">Quoted Rate </t>
  </si>
  <si>
    <t>Lee Thomson</t>
  </si>
  <si>
    <t xml:space="preserve">Kyle Petersen </t>
  </si>
  <si>
    <t xml:space="preserve">Horahs </t>
  </si>
  <si>
    <t xml:space="preserve">Vocals </t>
  </si>
  <si>
    <t xml:space="preserve">Nathan Ambach </t>
  </si>
  <si>
    <t xml:space="preserve">Andrew Ford </t>
  </si>
  <si>
    <t>Trumpet</t>
  </si>
  <si>
    <t xml:space="preserve">Lee Thomson </t>
  </si>
  <si>
    <t xml:space="preserve">Nicholas Williams </t>
  </si>
  <si>
    <t>Keys</t>
  </si>
  <si>
    <t xml:space="preserve">Kevin Gibson </t>
  </si>
  <si>
    <t>Bass</t>
  </si>
  <si>
    <t xml:space="preserve">Francesca Biancoli </t>
  </si>
  <si>
    <t xml:space="preserve">Drums </t>
  </si>
  <si>
    <t>Daniela Marano</t>
  </si>
  <si>
    <t xml:space="preserve">Dance set </t>
  </si>
  <si>
    <t xml:space="preserve">DJ </t>
  </si>
  <si>
    <t xml:space="preserve">Musician expense - excluding dinner </t>
  </si>
  <si>
    <t>Coordination fee</t>
  </si>
  <si>
    <t xml:space="preserve">Option Two </t>
  </si>
  <si>
    <t xml:space="preserve">Total expense - excluding dinner </t>
  </si>
  <si>
    <t xml:space="preserve">Option One </t>
  </si>
  <si>
    <t xml:space="preserve">Built in commission </t>
  </si>
  <si>
    <t xml:space="preserve">Booking fee - 20% </t>
  </si>
  <si>
    <t xml:space="preserve">Dani commission </t>
  </si>
  <si>
    <t xml:space="preserve">Total payment </t>
  </si>
  <si>
    <t xml:space="preserve">TON commission </t>
  </si>
  <si>
    <t xml:space="preserve">Total commission </t>
  </si>
  <si>
    <t xml:space="preserve">Total excluding VAT </t>
  </si>
  <si>
    <t xml:space="preserve">VAT </t>
  </si>
  <si>
    <t xml:space="preserve">Total including VAT </t>
  </si>
  <si>
    <t xml:space="preserve">Deposit payment received </t>
  </si>
  <si>
    <t xml:space="preserve">Balance of payment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</si>
</sst>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1.0"/>
      <color theme="1"/>
      <name val="Calibri"/>
    </font>
    <font>
      <sz val="11.0"/>
      <color theme="1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Border="1" applyFont="1"/>
    <xf borderId="2" fillId="0" fontId="2" numFmtId="0" xfId="0" applyBorder="1" applyFont="1"/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2.38"/>
    <col customWidth="1" min="3" max="3" width="30.25"/>
    <col customWidth="1" min="4" max="4" width="7.63"/>
    <col customWidth="1" min="5" max="5" width="11.0"/>
    <col customWidth="1" min="6" max="6" width="21.25"/>
    <col customWidth="1" min="7" max="7" width="7.63"/>
    <col customWidth="1" min="8" max="8" width="13.75"/>
    <col customWidth="1" min="9" max="9" width="12.13"/>
    <col customWidth="1" min="10" max="26" width="7.63"/>
  </cols>
  <sheetData>
    <row r="1">
      <c r="A1" s="1" t="s">
        <v>0</v>
      </c>
      <c r="B1" s="1"/>
      <c r="C1" s="1"/>
      <c r="D1" s="1"/>
      <c r="E1" s="1"/>
      <c r="F1" s="1" t="s">
        <v>1</v>
      </c>
      <c r="G1" s="1" t="s">
        <v>2</v>
      </c>
      <c r="H1" s="1" t="s">
        <v>3</v>
      </c>
      <c r="I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  <c r="G2" s="1">
        <f>SUM(D6,D14)</f>
        <v>3000</v>
      </c>
      <c r="H2" s="1">
        <v>0.0</v>
      </c>
      <c r="I2" s="1">
        <f>G2-H2</f>
        <v>3000</v>
      </c>
    </row>
    <row r="3">
      <c r="A3" s="1"/>
      <c r="B3" s="1"/>
      <c r="C3" s="1"/>
      <c r="D3" s="1"/>
      <c r="E3" s="1"/>
      <c r="F3" s="3" t="s">
        <v>11</v>
      </c>
      <c r="G3" s="3">
        <v>3000.0</v>
      </c>
      <c r="H3" s="3">
        <v>0.0</v>
      </c>
      <c r="I3" s="3">
        <v>3000.0</v>
      </c>
    </row>
    <row r="4">
      <c r="A4" s="1" t="s">
        <v>12</v>
      </c>
      <c r="B4" s="1" t="s">
        <v>13</v>
      </c>
      <c r="C4" s="1" t="s">
        <v>14</v>
      </c>
      <c r="D4" s="1">
        <v>0.0</v>
      </c>
      <c r="E4" s="1">
        <f>D4*50/100+D4</f>
        <v>0</v>
      </c>
      <c r="F4" s="4" t="s">
        <v>15</v>
      </c>
      <c r="G4" s="1">
        <f t="shared" ref="G4:G6" si="1">SUM(D6,D14)</f>
        <v>3000</v>
      </c>
      <c r="H4" s="4">
        <v>3000.0</v>
      </c>
      <c r="I4" s="1">
        <f t="shared" ref="I4:I9" si="2">G4-H4</f>
        <v>0</v>
      </c>
    </row>
    <row r="5">
      <c r="A5" s="1"/>
      <c r="B5" s="2" t="s">
        <v>16</v>
      </c>
      <c r="C5" s="2" t="s">
        <v>17</v>
      </c>
      <c r="D5" s="1">
        <v>1250.0</v>
      </c>
      <c r="E5" s="1">
        <v>1500.0</v>
      </c>
      <c r="F5" s="4" t="s">
        <v>18</v>
      </c>
      <c r="G5" s="1">
        <f t="shared" si="1"/>
        <v>3000</v>
      </c>
      <c r="H5" s="4">
        <v>3000.0</v>
      </c>
      <c r="I5" s="1">
        <f t="shared" si="2"/>
        <v>0</v>
      </c>
    </row>
    <row r="6">
      <c r="A6" s="1"/>
      <c r="B6" s="1" t="s">
        <v>19</v>
      </c>
      <c r="C6" s="1" t="s">
        <v>15</v>
      </c>
      <c r="D6" s="1">
        <v>1250.0</v>
      </c>
      <c r="E6" s="1">
        <v>1500.0</v>
      </c>
      <c r="F6" s="4" t="s">
        <v>20</v>
      </c>
      <c r="G6" s="1">
        <f t="shared" si="1"/>
        <v>3000</v>
      </c>
      <c r="H6" s="4">
        <v>3000.0</v>
      </c>
      <c r="I6" s="1">
        <f t="shared" si="2"/>
        <v>0</v>
      </c>
    </row>
    <row r="7">
      <c r="A7" s="1"/>
      <c r="B7" s="1" t="s">
        <v>21</v>
      </c>
      <c r="C7" s="1" t="s">
        <v>18</v>
      </c>
      <c r="D7" s="1">
        <v>1250.0</v>
      </c>
      <c r="E7" s="1">
        <v>1500.0</v>
      </c>
      <c r="F7" s="5" t="s">
        <v>22</v>
      </c>
      <c r="G7" s="4">
        <v>2500.0</v>
      </c>
      <c r="H7" s="4">
        <v>2500.0</v>
      </c>
      <c r="I7" s="1">
        <f t="shared" si="2"/>
        <v>0</v>
      </c>
    </row>
    <row r="8">
      <c r="A8" s="1"/>
      <c r="B8" s="1" t="s">
        <v>23</v>
      </c>
      <c r="C8" s="1" t="s">
        <v>20</v>
      </c>
      <c r="D8" s="1">
        <v>1250.0</v>
      </c>
      <c r="E8" s="1">
        <v>1500.0</v>
      </c>
      <c r="F8" s="4" t="s">
        <v>14</v>
      </c>
      <c r="G8" s="1">
        <f>SUM(D4,D11,D19)</f>
        <v>13500</v>
      </c>
      <c r="H8" s="4">
        <v>0.0</v>
      </c>
      <c r="I8" s="1">
        <f t="shared" si="2"/>
        <v>13500</v>
      </c>
    </row>
    <row r="9">
      <c r="A9" s="1"/>
      <c r="B9" s="1"/>
      <c r="C9" s="1"/>
      <c r="D9" s="1">
        <f t="shared" ref="D9:E9" si="3">SUM(D4:D8)</f>
        <v>5000</v>
      </c>
      <c r="E9" s="1">
        <f t="shared" si="3"/>
        <v>6000</v>
      </c>
      <c r="F9" s="4" t="s">
        <v>24</v>
      </c>
      <c r="G9" s="4">
        <v>4970.0</v>
      </c>
      <c r="H9" s="4">
        <v>0.0</v>
      </c>
      <c r="I9" s="1">
        <f t="shared" si="2"/>
        <v>4970</v>
      </c>
    </row>
    <row r="10">
      <c r="A10" s="1"/>
      <c r="B10" s="1"/>
      <c r="C10" s="1"/>
      <c r="D10" s="1"/>
      <c r="E10" s="1"/>
      <c r="F10" s="4"/>
      <c r="G10" s="1">
        <f t="shared" ref="G10:I10" si="4">SUM(G2:G9)</f>
        <v>35970</v>
      </c>
      <c r="H10" s="1">
        <f t="shared" si="4"/>
        <v>11500</v>
      </c>
      <c r="I10" s="1">
        <f t="shared" si="4"/>
        <v>24470</v>
      </c>
    </row>
    <row r="11">
      <c r="A11" s="1" t="s">
        <v>25</v>
      </c>
      <c r="B11" s="1" t="s">
        <v>13</v>
      </c>
      <c r="C11" s="1" t="s">
        <v>14</v>
      </c>
      <c r="D11" s="1">
        <v>6000.0</v>
      </c>
      <c r="E11" s="1">
        <f>D11*50/100+D11</f>
        <v>9000</v>
      </c>
      <c r="F11" s="4"/>
      <c r="G11" s="4"/>
      <c r="H11" s="4"/>
      <c r="I11" s="1">
        <f>B33-I10</f>
        <v>4682.5</v>
      </c>
    </row>
    <row r="12">
      <c r="A12" s="1"/>
      <c r="B12" s="1" t="s">
        <v>13</v>
      </c>
      <c r="C12" s="1" t="s">
        <v>22</v>
      </c>
      <c r="D12" s="1">
        <v>2500.0</v>
      </c>
      <c r="E12" s="1">
        <v>3000.0</v>
      </c>
      <c r="F12" s="1"/>
      <c r="G12" s="1"/>
      <c r="H12" s="1"/>
      <c r="I12" s="1"/>
    </row>
    <row r="13">
      <c r="A13" s="1"/>
      <c r="B13" s="2" t="s">
        <v>16</v>
      </c>
      <c r="C13" s="2" t="s">
        <v>10</v>
      </c>
      <c r="D13" s="1">
        <v>1750.0</v>
      </c>
      <c r="E13" s="1">
        <f t="shared" ref="E13:E16" si="5">D13*50/100+D13</f>
        <v>2625</v>
      </c>
      <c r="F13" s="1"/>
      <c r="G13" s="1"/>
      <c r="H13" s="1"/>
      <c r="I13" s="1"/>
    </row>
    <row r="14">
      <c r="A14" s="1"/>
      <c r="B14" s="1" t="s">
        <v>19</v>
      </c>
      <c r="C14" s="1" t="s">
        <v>15</v>
      </c>
      <c r="D14" s="1">
        <v>1750.0</v>
      </c>
      <c r="E14" s="1">
        <f t="shared" si="5"/>
        <v>2625</v>
      </c>
      <c r="F14" s="1"/>
      <c r="G14" s="1"/>
      <c r="H14" s="1"/>
      <c r="I14" s="1"/>
    </row>
    <row r="15">
      <c r="A15" s="1"/>
      <c r="B15" s="1" t="s">
        <v>21</v>
      </c>
      <c r="C15" s="1" t="s">
        <v>18</v>
      </c>
      <c r="D15" s="1">
        <v>1750.0</v>
      </c>
      <c r="E15" s="1">
        <f t="shared" si="5"/>
        <v>2625</v>
      </c>
      <c r="F15" s="1"/>
      <c r="G15" s="1"/>
      <c r="H15" s="1"/>
      <c r="I15" s="1"/>
    </row>
    <row r="16">
      <c r="A16" s="1"/>
      <c r="B16" s="1" t="s">
        <v>23</v>
      </c>
      <c r="C16" s="1" t="s">
        <v>20</v>
      </c>
      <c r="D16" s="1">
        <v>1750.0</v>
      </c>
      <c r="E16" s="1">
        <f t="shared" si="5"/>
        <v>2625</v>
      </c>
      <c r="F16" s="1"/>
      <c r="G16" s="1"/>
      <c r="H16" s="1"/>
      <c r="I16" s="1"/>
    </row>
    <row r="17">
      <c r="A17" s="1"/>
      <c r="B17" s="1"/>
      <c r="C17" s="1"/>
      <c r="D17" s="1">
        <f t="shared" ref="D17:E17" si="6">SUM(D11:D16)</f>
        <v>15500</v>
      </c>
      <c r="E17" s="1">
        <f t="shared" si="6"/>
        <v>22500</v>
      </c>
      <c r="F17" s="1"/>
      <c r="G17" s="1"/>
      <c r="H17" s="1"/>
      <c r="I17" s="1"/>
    </row>
    <row r="18">
      <c r="A18" s="6"/>
      <c r="B18" s="1"/>
      <c r="C18" s="1"/>
      <c r="D18" s="1"/>
      <c r="E18" s="1"/>
      <c r="F18" s="1"/>
      <c r="G18" s="1"/>
      <c r="H18" s="1"/>
      <c r="I18" s="1"/>
    </row>
    <row r="19">
      <c r="B19" s="1" t="s">
        <v>26</v>
      </c>
      <c r="C19" s="1" t="s">
        <v>14</v>
      </c>
      <c r="D19" s="1">
        <v>7500.0</v>
      </c>
      <c r="E19" s="1">
        <f>D19*50/100+D19</f>
        <v>11250</v>
      </c>
      <c r="F19" s="1"/>
      <c r="G19" s="1"/>
      <c r="H19" s="1"/>
      <c r="I19" s="1"/>
    </row>
    <row r="20">
      <c r="A20" s="1"/>
      <c r="B20" s="1"/>
      <c r="C20" s="1" t="s">
        <v>27</v>
      </c>
      <c r="D20" s="1">
        <f t="shared" ref="D20:E20" si="7">SUM(D9,D17,D19)</f>
        <v>28000</v>
      </c>
      <c r="E20" s="1">
        <f t="shared" si="7"/>
        <v>39750</v>
      </c>
      <c r="F20" s="1"/>
      <c r="G20" s="1"/>
      <c r="H20" s="1"/>
      <c r="I20" s="1"/>
    </row>
    <row r="21" ht="15.75" customHeight="1">
      <c r="A21" s="1"/>
      <c r="B21" s="1"/>
      <c r="C21" s="1" t="s">
        <v>28</v>
      </c>
      <c r="D21" s="1">
        <v>3000.0</v>
      </c>
      <c r="E21" s="1">
        <v>3000.0</v>
      </c>
      <c r="F21" s="1"/>
      <c r="G21" s="1"/>
      <c r="H21" s="1"/>
      <c r="I21" s="1"/>
    </row>
    <row r="22" ht="15.75" customHeight="1">
      <c r="A22" s="1"/>
      <c r="B22" s="1" t="s">
        <v>29</v>
      </c>
      <c r="C22" s="1" t="s">
        <v>30</v>
      </c>
      <c r="D22" s="1">
        <f t="shared" ref="D22:E22" si="8">SUM(D20,D21)</f>
        <v>31000</v>
      </c>
      <c r="E22" s="1">
        <f t="shared" si="8"/>
        <v>42750</v>
      </c>
      <c r="F22" s="1"/>
      <c r="G22" s="1"/>
      <c r="H22" s="1"/>
      <c r="I22" s="1"/>
    </row>
    <row r="23" ht="15.75" customHeight="1">
      <c r="A23" s="1" t="s">
        <v>31</v>
      </c>
      <c r="B23" s="1"/>
      <c r="C23" s="1"/>
      <c r="D23" s="1"/>
      <c r="E23" s="1"/>
      <c r="F23" s="1"/>
      <c r="G23" s="1"/>
      <c r="H23" s="1"/>
      <c r="I23" s="1"/>
    </row>
    <row r="24" ht="15.75" customHeight="1">
      <c r="A24" s="1" t="s">
        <v>32</v>
      </c>
      <c r="B24" s="1">
        <f>E22-D22</f>
        <v>11750</v>
      </c>
      <c r="C24" s="1"/>
      <c r="D24" s="1"/>
      <c r="E24" s="1"/>
      <c r="F24" s="1"/>
      <c r="G24" s="1"/>
      <c r="H24" s="1"/>
      <c r="I24" s="1"/>
    </row>
    <row r="25" ht="15.75" customHeight="1">
      <c r="A25" s="1" t="s">
        <v>33</v>
      </c>
      <c r="B25" s="1">
        <f>E20*20/100</f>
        <v>7950</v>
      </c>
      <c r="C25" s="1"/>
      <c r="D25" s="1"/>
      <c r="E25" s="1"/>
      <c r="F25" s="1"/>
      <c r="G25" s="1"/>
      <c r="H25" s="1"/>
      <c r="I25" s="1"/>
    </row>
    <row r="26" ht="15.75" customHeight="1">
      <c r="A26" s="1" t="s">
        <v>34</v>
      </c>
      <c r="B26" s="1">
        <f>B28*10/100</f>
        <v>1970</v>
      </c>
      <c r="C26" s="1" t="s">
        <v>35</v>
      </c>
      <c r="D26" s="1">
        <f>SUM(B26,D21)</f>
        <v>4970</v>
      </c>
      <c r="E26" s="1"/>
      <c r="F26" s="1"/>
      <c r="G26" s="1"/>
      <c r="H26" s="1"/>
      <c r="I26" s="1"/>
    </row>
    <row r="27" ht="15.75" customHeight="1">
      <c r="A27" s="1" t="s">
        <v>36</v>
      </c>
      <c r="B27" s="1">
        <f>B28-B26</f>
        <v>17730</v>
      </c>
      <c r="C27" s="1"/>
      <c r="D27" s="1"/>
      <c r="E27" s="1"/>
      <c r="F27" s="1"/>
      <c r="G27" s="1"/>
      <c r="H27" s="1"/>
      <c r="I27" s="1"/>
    </row>
    <row r="28" ht="15.75" customHeight="1">
      <c r="A28" s="1" t="s">
        <v>37</v>
      </c>
      <c r="B28" s="1">
        <f>SUM(B24:B25)</f>
        <v>19700</v>
      </c>
      <c r="C28" s="1"/>
      <c r="D28" s="1"/>
      <c r="E28" s="1"/>
      <c r="F28" s="1"/>
      <c r="G28" s="1"/>
      <c r="H28" s="1"/>
      <c r="I28" s="1"/>
    </row>
    <row r="29" ht="15.75" customHeight="1">
      <c r="A29" s="1" t="s">
        <v>38</v>
      </c>
      <c r="B29" s="1">
        <f>SUM(E22,B25)</f>
        <v>50700</v>
      </c>
      <c r="C29" s="1"/>
      <c r="D29" s="1"/>
      <c r="E29" s="1"/>
      <c r="F29" s="1"/>
      <c r="G29" s="1"/>
      <c r="H29" s="1"/>
      <c r="I29" s="1"/>
    </row>
    <row r="30" ht="15.75" customHeight="1">
      <c r="A30" s="1" t="s">
        <v>39</v>
      </c>
      <c r="B30" s="1">
        <f>B29*15/100</f>
        <v>7605</v>
      </c>
      <c r="C30" s="1"/>
      <c r="D30" s="1"/>
      <c r="E30" s="1"/>
      <c r="F30" s="1"/>
      <c r="G30" s="1"/>
      <c r="H30" s="1"/>
      <c r="I30" s="1"/>
    </row>
    <row r="31" ht="15.75" customHeight="1">
      <c r="A31" s="1" t="s">
        <v>40</v>
      </c>
      <c r="B31" s="1">
        <f>SUM(B29:B30)</f>
        <v>58305</v>
      </c>
      <c r="C31" s="1"/>
      <c r="D31" s="1"/>
      <c r="E31" s="1"/>
      <c r="F31" s="1"/>
      <c r="G31" s="1"/>
      <c r="H31" s="1"/>
      <c r="I31" s="1"/>
    </row>
    <row r="32" ht="15.75" customHeight="1">
      <c r="A32" s="1" t="s">
        <v>41</v>
      </c>
      <c r="B32" s="1">
        <f>B31/2</f>
        <v>29152.5</v>
      </c>
      <c r="C32" s="1"/>
      <c r="D32" s="1"/>
      <c r="E32" s="1"/>
      <c r="F32" s="1"/>
      <c r="G32" s="1"/>
      <c r="H32" s="1"/>
      <c r="I32" s="1"/>
    </row>
    <row r="33" ht="15.75" customHeight="1">
      <c r="A33" s="1" t="s">
        <v>42</v>
      </c>
      <c r="B33" s="1">
        <f>B31-B32</f>
        <v>29152.5</v>
      </c>
      <c r="C33" s="1"/>
      <c r="D33" s="1"/>
      <c r="E33" s="1"/>
      <c r="F33" s="1"/>
      <c r="G33" s="1"/>
      <c r="H33" s="1"/>
      <c r="I33" s="1"/>
    </row>
    <row r="34" ht="15.75" customHeight="1">
      <c r="B34" s="7">
        <f>B30/2</f>
        <v>3802.5</v>
      </c>
    </row>
    <row r="35" ht="15.75" customHeight="1">
      <c r="B35" s="7">
        <f>SUM(H10,B34)</f>
        <v>15302.5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2019-04-23T15:05:14Z</dcterms:created>
  <dc:creator>Daniela Marano</dc:creator>
</cp:coreProperties>
</file>