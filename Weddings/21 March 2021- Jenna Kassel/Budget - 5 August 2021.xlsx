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budget - 5 August 2021" sheetId="1" r:id="rId4"/>
    <sheet state="visible" name="Revised budget - 5 August 2021" sheetId="2" r:id="rId5"/>
  </sheets>
  <definedNames/>
  <calcPr/>
  <extLst>
    <ext uri="GoogleSheetsCustomDataVersion1">
      <go:sheetsCustomData xmlns:go="http://customooxmlschemas.google.com/" r:id="rId6" roundtripDataSignature="AMtx7mi6WX8ynWIivceAh6QZT2y789Ks2A=="/>
    </ext>
  </extLst>
</workbook>
</file>

<file path=xl/sharedStrings.xml><?xml version="1.0" encoding="utf-8"?>
<sst xmlns="http://schemas.openxmlformats.org/spreadsheetml/2006/main" count="73" uniqueCount="31">
  <si>
    <t xml:space="preserve">Budget - 5 August 2021 </t>
  </si>
  <si>
    <t xml:space="preserve">Set </t>
  </si>
  <si>
    <t xml:space="preserve">Musician Type </t>
  </si>
  <si>
    <t xml:space="preserve">Musician Name </t>
  </si>
  <si>
    <t xml:space="preserve">Rate </t>
  </si>
  <si>
    <t>Quoted Rate</t>
  </si>
  <si>
    <t>Pre-drinks - Option One</t>
  </si>
  <si>
    <t xml:space="preserve">DJ </t>
  </si>
  <si>
    <t xml:space="preserve">Rus Nerwich </t>
  </si>
  <si>
    <t xml:space="preserve">Saxophone </t>
  </si>
  <si>
    <t xml:space="preserve">Pre-drinks - Option Two </t>
  </si>
  <si>
    <t xml:space="preserve">Keys </t>
  </si>
  <si>
    <t xml:space="preserve">Andrew Ford </t>
  </si>
  <si>
    <t xml:space="preserve">Bass </t>
  </si>
  <si>
    <t xml:space="preserve">Nicholas Wiliams </t>
  </si>
  <si>
    <t xml:space="preserve">Drums </t>
  </si>
  <si>
    <t xml:space="preserve">Kevin Gibson </t>
  </si>
  <si>
    <t xml:space="preserve">Dinner: Option one </t>
  </si>
  <si>
    <t>Option One</t>
  </si>
  <si>
    <t xml:space="preserve">Total musician expense </t>
  </si>
  <si>
    <t xml:space="preserve">Coordination </t>
  </si>
  <si>
    <t xml:space="preserve">Option One </t>
  </si>
  <si>
    <t xml:space="preserve">Total expense </t>
  </si>
  <si>
    <t xml:space="preserve">Built-in commission </t>
  </si>
  <si>
    <t>Booking fee - 20%</t>
  </si>
  <si>
    <t xml:space="preserve">Total commission </t>
  </si>
  <si>
    <t xml:space="preserve">Dani commission </t>
  </si>
  <si>
    <t xml:space="preserve">TON commission </t>
  </si>
  <si>
    <t xml:space="preserve">Total excluding VAT </t>
  </si>
  <si>
    <t xml:space="preserve">VAT </t>
  </si>
  <si>
    <t xml:space="preserve">Option Two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</si>
</sst>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</font>
    <font>
      <sz val="11.0"/>
      <color theme="1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1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2" numFmtId="0" xfId="0" applyBorder="1" applyFont="1"/>
    <xf borderId="1" fillId="0" fontId="3" numFmtId="0" xfId="0" applyBorder="1" applyFont="1"/>
    <xf borderId="1" fillId="0" fontId="4" numFmtId="0" xfId="0" applyBorder="1" applyFont="1"/>
    <xf borderId="1" fillId="0" fontId="4" numFmtId="0" xfId="0" applyAlignment="1" applyBorder="1" applyFont="1">
      <alignment readingOrder="0"/>
    </xf>
    <xf borderId="0" fillId="0" fontId="2" numFmtId="0" xfId="0" applyFon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2.38"/>
    <col customWidth="1" min="3" max="3" width="19.75"/>
    <col customWidth="1" min="4" max="4" width="7.63"/>
    <col customWidth="1" min="5" max="5" width="10.63"/>
    <col customWidth="1" min="6" max="26" width="7.63"/>
  </cols>
  <sheetData>
    <row r="1">
      <c r="A1" s="1" t="s">
        <v>0</v>
      </c>
      <c r="B1" s="2"/>
      <c r="C1" s="2"/>
      <c r="D1" s="2"/>
      <c r="E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1" t="s">
        <v>6</v>
      </c>
      <c r="B3" s="2" t="s">
        <v>7</v>
      </c>
      <c r="C3" s="2" t="s">
        <v>8</v>
      </c>
      <c r="D3" s="2">
        <v>2500.0</v>
      </c>
      <c r="E3" s="3">
        <f t="shared" ref="E3:E4" si="1">D3*50/100+D3</f>
        <v>3750</v>
      </c>
    </row>
    <row r="4">
      <c r="A4" s="2"/>
      <c r="B4" s="2" t="s">
        <v>9</v>
      </c>
      <c r="C4" s="2" t="s">
        <v>8</v>
      </c>
      <c r="D4" s="2">
        <v>2500.0</v>
      </c>
      <c r="E4" s="3">
        <f t="shared" si="1"/>
        <v>3750</v>
      </c>
    </row>
    <row r="5">
      <c r="A5" s="2"/>
      <c r="B5" s="2"/>
      <c r="C5" s="2"/>
      <c r="D5" s="4">
        <f t="shared" ref="D5:E5" si="2">SUM(D3:D4)</f>
        <v>5000</v>
      </c>
      <c r="E5" s="4">
        <f t="shared" si="2"/>
        <v>7500</v>
      </c>
    </row>
    <row r="6">
      <c r="A6" s="1"/>
      <c r="B6" s="1"/>
      <c r="C6" s="1"/>
      <c r="D6" s="5"/>
      <c r="E6" s="5"/>
    </row>
    <row r="7">
      <c r="A7" s="1" t="s">
        <v>10</v>
      </c>
      <c r="B7" s="1" t="s">
        <v>9</v>
      </c>
      <c r="C7" s="1" t="s">
        <v>8</v>
      </c>
      <c r="D7" s="6">
        <v>2500.0</v>
      </c>
      <c r="E7" s="4">
        <f t="shared" ref="E7:E10" si="3">D7*50/100+D7</f>
        <v>3750</v>
      </c>
    </row>
    <row r="8">
      <c r="A8" s="2"/>
      <c r="B8" s="1" t="s">
        <v>11</v>
      </c>
      <c r="C8" s="1" t="s">
        <v>12</v>
      </c>
      <c r="D8" s="6">
        <v>2500.0</v>
      </c>
      <c r="E8" s="4">
        <f t="shared" si="3"/>
        <v>3750</v>
      </c>
    </row>
    <row r="9">
      <c r="A9" s="2"/>
      <c r="B9" s="1" t="s">
        <v>13</v>
      </c>
      <c r="C9" s="1" t="s">
        <v>14</v>
      </c>
      <c r="D9" s="6">
        <v>2500.0</v>
      </c>
      <c r="E9" s="4">
        <f t="shared" si="3"/>
        <v>3750</v>
      </c>
    </row>
    <row r="10">
      <c r="A10" s="2"/>
      <c r="B10" s="1" t="s">
        <v>15</v>
      </c>
      <c r="C10" s="1" t="s">
        <v>16</v>
      </c>
      <c r="D10" s="6">
        <v>2500.0</v>
      </c>
      <c r="E10" s="4">
        <f t="shared" si="3"/>
        <v>3750</v>
      </c>
    </row>
    <row r="11">
      <c r="A11" s="2"/>
      <c r="B11" s="2"/>
      <c r="C11" s="2"/>
      <c r="D11" s="4">
        <f t="shared" ref="D11:E11" si="4">SUM(D7:D10)</f>
        <v>10000</v>
      </c>
      <c r="E11" s="4">
        <f t="shared" si="4"/>
        <v>15000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"/>
      <c r="B12" s="2"/>
      <c r="C12" s="2"/>
      <c r="D12" s="5"/>
      <c r="E12" s="5"/>
    </row>
    <row r="13">
      <c r="A13" s="2" t="s">
        <v>17</v>
      </c>
      <c r="B13" s="2" t="s">
        <v>7</v>
      </c>
      <c r="C13" s="2" t="s">
        <v>8</v>
      </c>
      <c r="D13" s="5">
        <v>2500.0</v>
      </c>
      <c r="E13" s="4">
        <f>D13*50/100+D13</f>
        <v>3750</v>
      </c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"/>
      <c r="B16" s="2" t="s">
        <v>18</v>
      </c>
      <c r="C16" s="2" t="s">
        <v>19</v>
      </c>
      <c r="D16" s="4">
        <f>SUM(D5,D11,D13)</f>
        <v>17500</v>
      </c>
      <c r="E16" s="4">
        <f>SUM(E5,E11)</f>
        <v>22500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"/>
      <c r="B17" s="2"/>
      <c r="C17" s="2" t="s">
        <v>20</v>
      </c>
      <c r="D17" s="3">
        <f>3000</f>
        <v>3000</v>
      </c>
      <c r="E17" s="2">
        <v>3000.0</v>
      </c>
    </row>
    <row r="18">
      <c r="A18" s="2"/>
      <c r="B18" s="2" t="s">
        <v>21</v>
      </c>
      <c r="C18" s="2" t="s">
        <v>22</v>
      </c>
      <c r="D18" s="3">
        <f t="shared" ref="D18:E18" si="5">SUM(D16,D17)</f>
        <v>20500</v>
      </c>
      <c r="E18" s="3">
        <f t="shared" si="5"/>
        <v>25500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2"/>
      <c r="B19" s="2"/>
      <c r="C19" s="2"/>
      <c r="D19" s="2"/>
      <c r="E19" s="2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2" t="s">
        <v>21</v>
      </c>
      <c r="B20" s="2"/>
      <c r="C20" s="2"/>
      <c r="D20" s="2"/>
      <c r="E20" s="2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2" t="s">
        <v>23</v>
      </c>
      <c r="B21" s="3">
        <f>E18-D18</f>
        <v>5000</v>
      </c>
      <c r="C21" s="2"/>
      <c r="D21" s="2"/>
      <c r="E21" s="2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2" t="s">
        <v>24</v>
      </c>
      <c r="B22" s="3">
        <f>E16*20/100</f>
        <v>4500</v>
      </c>
      <c r="C22" s="2"/>
      <c r="D22" s="2"/>
      <c r="E22" s="2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2" t="s">
        <v>25</v>
      </c>
      <c r="B23" s="3">
        <f>SUM(B21:B22)</f>
        <v>9500</v>
      </c>
      <c r="C23" s="2"/>
      <c r="D23" s="2"/>
      <c r="E23" s="2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2" t="s">
        <v>26</v>
      </c>
      <c r="B24" s="3">
        <f>B23*20/100</f>
        <v>1900</v>
      </c>
      <c r="C24" s="2"/>
      <c r="D24" s="2"/>
      <c r="E24" s="2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2" t="s">
        <v>27</v>
      </c>
      <c r="B25" s="3">
        <f>B23-B24</f>
        <v>7600</v>
      </c>
      <c r="C25" s="2"/>
      <c r="D25" s="2"/>
      <c r="E25" s="2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2" t="s">
        <v>28</v>
      </c>
      <c r="B26" s="3">
        <f>SUM(E18,B22)</f>
        <v>30000</v>
      </c>
      <c r="C26" s="2"/>
      <c r="D26" s="2"/>
      <c r="E26" s="2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</cols>
  <sheetData>
    <row r="1">
      <c r="A1" s="8" t="s">
        <v>0</v>
      </c>
      <c r="B1" s="3"/>
      <c r="C1" s="3"/>
      <c r="D1" s="3"/>
      <c r="E1" s="3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8" t="s">
        <v>6</v>
      </c>
      <c r="B3" s="3" t="s">
        <v>7</v>
      </c>
      <c r="C3" s="3" t="s">
        <v>8</v>
      </c>
      <c r="D3" s="3">
        <v>2500.0</v>
      </c>
      <c r="E3" s="3">
        <f t="shared" ref="E3:E4" si="1">D3*50/100+D3</f>
        <v>3750</v>
      </c>
    </row>
    <row r="4">
      <c r="A4" s="3"/>
      <c r="B4" s="3" t="s">
        <v>9</v>
      </c>
      <c r="C4" s="3" t="s">
        <v>8</v>
      </c>
      <c r="D4" s="3">
        <v>2500.0</v>
      </c>
      <c r="E4" s="3">
        <f t="shared" si="1"/>
        <v>3750</v>
      </c>
    </row>
    <row r="5">
      <c r="A5" s="3"/>
      <c r="B5" s="3"/>
      <c r="C5" s="3"/>
      <c r="D5" s="4">
        <f t="shared" ref="D5:E5" si="2">SUM(D3:D4)</f>
        <v>5000</v>
      </c>
      <c r="E5" s="4">
        <f t="shared" si="2"/>
        <v>7500</v>
      </c>
    </row>
    <row r="6">
      <c r="A6" s="8"/>
      <c r="B6" s="8"/>
      <c r="C6" s="8"/>
      <c r="D6" s="4"/>
      <c r="E6" s="4"/>
    </row>
    <row r="7">
      <c r="A7" s="8" t="s">
        <v>10</v>
      </c>
      <c r="B7" s="8" t="s">
        <v>9</v>
      </c>
      <c r="C7" s="8" t="s">
        <v>8</v>
      </c>
      <c r="D7" s="9">
        <v>2500.0</v>
      </c>
      <c r="E7" s="4">
        <f t="shared" ref="E7:E10" si="3">D7*50/100+D7</f>
        <v>3750</v>
      </c>
    </row>
    <row r="8">
      <c r="A8" s="3"/>
      <c r="B8" s="8" t="s">
        <v>11</v>
      </c>
      <c r="C8" s="8" t="s">
        <v>12</v>
      </c>
      <c r="D8" s="9">
        <v>2500.0</v>
      </c>
      <c r="E8" s="4">
        <f t="shared" si="3"/>
        <v>3750</v>
      </c>
    </row>
    <row r="9">
      <c r="A9" s="3"/>
      <c r="B9" s="8" t="s">
        <v>13</v>
      </c>
      <c r="C9" s="8" t="s">
        <v>14</v>
      </c>
      <c r="D9" s="9">
        <v>2500.0</v>
      </c>
      <c r="E9" s="4">
        <f t="shared" si="3"/>
        <v>3750</v>
      </c>
    </row>
    <row r="10">
      <c r="A10" s="3"/>
      <c r="B10" s="8" t="s">
        <v>15</v>
      </c>
      <c r="C10" s="8" t="s">
        <v>16</v>
      </c>
      <c r="D10" s="9">
        <v>2500.0</v>
      </c>
      <c r="E10" s="4">
        <f t="shared" si="3"/>
        <v>3750</v>
      </c>
    </row>
    <row r="11">
      <c r="A11" s="3"/>
      <c r="B11" s="3"/>
      <c r="C11" s="3"/>
      <c r="D11" s="4">
        <f t="shared" ref="D11:E11" si="4">SUM(D7:D10)</f>
        <v>10000</v>
      </c>
      <c r="E11" s="4">
        <f t="shared" si="4"/>
        <v>15000</v>
      </c>
    </row>
    <row r="12">
      <c r="A12" s="3"/>
      <c r="B12" s="3"/>
      <c r="C12" s="3"/>
      <c r="D12" s="4"/>
      <c r="E12" s="4"/>
    </row>
    <row r="13">
      <c r="A13" s="3" t="s">
        <v>21</v>
      </c>
      <c r="B13" s="3"/>
      <c r="C13" s="3"/>
      <c r="D13" s="3"/>
      <c r="E13" s="3"/>
    </row>
    <row r="14">
      <c r="A14" s="3" t="s">
        <v>23</v>
      </c>
      <c r="B14" s="3">
        <f>E5-D5</f>
        <v>2500</v>
      </c>
      <c r="C14" s="3"/>
      <c r="D14" s="3"/>
      <c r="E14" s="3"/>
    </row>
    <row r="15">
      <c r="A15" s="3" t="s">
        <v>24</v>
      </c>
      <c r="B15" s="3">
        <f>E5*20/100</f>
        <v>1500</v>
      </c>
      <c r="C15" s="3"/>
      <c r="D15" s="3"/>
      <c r="E15" s="3"/>
    </row>
    <row r="16">
      <c r="A16" s="3" t="s">
        <v>25</v>
      </c>
      <c r="B16" s="3">
        <f>SUM(B14:B15)</f>
        <v>4000</v>
      </c>
      <c r="C16" s="3"/>
      <c r="D16" s="3"/>
      <c r="E16" s="3"/>
    </row>
    <row r="17">
      <c r="A17" s="3" t="s">
        <v>26</v>
      </c>
      <c r="B17" s="3">
        <f>B16*20/100</f>
        <v>800</v>
      </c>
      <c r="C17" s="3"/>
      <c r="D17" s="3"/>
      <c r="E17" s="3"/>
    </row>
    <row r="18">
      <c r="A18" s="3" t="s">
        <v>27</v>
      </c>
      <c r="B18" s="3">
        <f>B16-B17</f>
        <v>3200</v>
      </c>
      <c r="C18" s="3"/>
      <c r="D18" s="3"/>
      <c r="E18" s="3"/>
    </row>
    <row r="19">
      <c r="A19" s="3" t="s">
        <v>28</v>
      </c>
      <c r="B19" s="3">
        <f>SUM(E5,B15)</f>
        <v>9000</v>
      </c>
      <c r="C19" s="3"/>
      <c r="D19" s="3"/>
      <c r="E19" s="3"/>
    </row>
    <row r="20">
      <c r="A20" s="3" t="s">
        <v>29</v>
      </c>
      <c r="B20" s="3">
        <f>B19*15/100</f>
        <v>1350</v>
      </c>
      <c r="C20" s="3"/>
      <c r="D20" s="3"/>
      <c r="E20" s="3"/>
    </row>
    <row r="21">
      <c r="A21" s="3" t="s">
        <v>28</v>
      </c>
      <c r="B21" s="3">
        <f>SUM(B19:B20)</f>
        <v>10350</v>
      </c>
      <c r="C21" s="3"/>
      <c r="D21" s="3"/>
      <c r="E21" s="3"/>
    </row>
    <row r="22">
      <c r="A22" s="10"/>
      <c r="B22" s="10"/>
      <c r="C22" s="10"/>
      <c r="D22" s="10"/>
      <c r="E22" s="10"/>
    </row>
    <row r="23">
      <c r="A23" s="11" t="s">
        <v>30</v>
      </c>
      <c r="B23" s="10"/>
      <c r="C23" s="10"/>
      <c r="D23" s="10"/>
      <c r="E23" s="10"/>
    </row>
    <row r="24">
      <c r="A24" s="3" t="s">
        <v>23</v>
      </c>
      <c r="B24" s="10">
        <f>E11-D11</f>
        <v>5000</v>
      </c>
      <c r="C24" s="10"/>
      <c r="D24" s="10"/>
      <c r="E24" s="10"/>
    </row>
    <row r="25">
      <c r="A25" s="3" t="s">
        <v>24</v>
      </c>
      <c r="B25" s="10">
        <f>E11*20/100</f>
        <v>3000</v>
      </c>
      <c r="C25" s="10"/>
      <c r="D25" s="10"/>
      <c r="E25" s="10"/>
    </row>
    <row r="26">
      <c r="A26" s="3" t="s">
        <v>25</v>
      </c>
      <c r="B26" s="10">
        <f>SUM(B24:B25)</f>
        <v>8000</v>
      </c>
      <c r="C26" s="10"/>
      <c r="D26" s="10"/>
      <c r="E26" s="10"/>
    </row>
    <row r="27">
      <c r="A27" s="3" t="s">
        <v>26</v>
      </c>
      <c r="B27" s="10">
        <f>B26*20/100</f>
        <v>1600</v>
      </c>
      <c r="C27" s="10"/>
      <c r="D27" s="10"/>
      <c r="E27" s="10"/>
    </row>
    <row r="28">
      <c r="A28" s="3" t="s">
        <v>27</v>
      </c>
      <c r="B28" s="10">
        <f>B26-B27</f>
        <v>6400</v>
      </c>
      <c r="C28" s="10"/>
      <c r="D28" s="10"/>
      <c r="E28" s="10"/>
    </row>
    <row r="29">
      <c r="A29" s="3" t="s">
        <v>28</v>
      </c>
      <c r="B29" s="10">
        <f>SUM(E11,B25)</f>
        <v>18000</v>
      </c>
      <c r="C29" s="10"/>
      <c r="D29" s="10"/>
      <c r="E29" s="10"/>
    </row>
    <row r="30">
      <c r="A30" s="3" t="s">
        <v>29</v>
      </c>
      <c r="B30" s="10">
        <f>B29*15/100</f>
        <v>2700</v>
      </c>
      <c r="C30" s="10"/>
      <c r="D30" s="10"/>
      <c r="E30" s="10"/>
    </row>
    <row r="31">
      <c r="A31" s="3" t="s">
        <v>28</v>
      </c>
      <c r="B31" s="10">
        <f>SUM(B29:B30)</f>
        <v>20700</v>
      </c>
      <c r="C31" s="10"/>
      <c r="D31" s="10"/>
      <c r="E31" s="1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2020-07-07T08:30:31Z</dcterms:created>
  <dc:creator>Daniela Marano</dc:creator>
</cp:coreProperties>
</file>