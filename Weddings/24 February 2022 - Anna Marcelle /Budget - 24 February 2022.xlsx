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V.1" sheetId="1" r:id="rId5"/>
    <sheet state="visible" name="Budget V.2" sheetId="2" r:id="rId6"/>
  </sheets>
  <definedNames/>
  <calcPr/>
</workbook>
</file>

<file path=xl/sharedStrings.xml><?xml version="1.0" encoding="utf-8"?>
<sst xmlns="http://schemas.openxmlformats.org/spreadsheetml/2006/main" count="84" uniqueCount="40">
  <si>
    <t>Budget - 24 February 2022</t>
  </si>
  <si>
    <t xml:space="preserve">Set </t>
  </si>
  <si>
    <t xml:space="preserve">Musician Type </t>
  </si>
  <si>
    <t xml:space="preserve">Musician Name </t>
  </si>
  <si>
    <t>Rate</t>
  </si>
  <si>
    <t xml:space="preserve"> Quoted Rate </t>
  </si>
  <si>
    <t>Ceremony: Option One</t>
  </si>
  <si>
    <t xml:space="preserve">Choir </t>
  </si>
  <si>
    <t xml:space="preserve">Asili Vocal Ensemble </t>
  </si>
  <si>
    <t>Keys player</t>
  </si>
  <si>
    <t xml:space="preserve">TBC </t>
  </si>
  <si>
    <t xml:space="preserve">Dinner </t>
  </si>
  <si>
    <t xml:space="preserve">DJ </t>
  </si>
  <si>
    <t xml:space="preserve">Rus Nerwich </t>
  </si>
  <si>
    <t xml:space="preserve">Dance: </t>
  </si>
  <si>
    <t xml:space="preserve">Vocals </t>
  </si>
  <si>
    <t>Nathan Ambach</t>
  </si>
  <si>
    <t xml:space="preserve">Francesca Biancoli </t>
  </si>
  <si>
    <t xml:space="preserve">Trumpet </t>
  </si>
  <si>
    <t xml:space="preserve">Lee Thomson </t>
  </si>
  <si>
    <t xml:space="preserve">Guitar </t>
  </si>
  <si>
    <t xml:space="preserve">Angelo Syster </t>
  </si>
  <si>
    <t xml:space="preserve">Bass </t>
  </si>
  <si>
    <t xml:space="preserve">Nicholas Williams </t>
  </si>
  <si>
    <t>Drums</t>
  </si>
  <si>
    <t xml:space="preserve">Kevin Gibson </t>
  </si>
  <si>
    <t xml:space="preserve">Party: </t>
  </si>
  <si>
    <t xml:space="preserve">Musician expense </t>
  </si>
  <si>
    <t xml:space="preserve">Musical coordination </t>
  </si>
  <si>
    <t xml:space="preserve">Petrol </t>
  </si>
  <si>
    <t xml:space="preserve">Total expense </t>
  </si>
  <si>
    <t xml:space="preserve">Built in commission </t>
  </si>
  <si>
    <t xml:space="preserve">Booking fee - 20% </t>
  </si>
  <si>
    <t xml:space="preserve">Dani commission </t>
  </si>
  <si>
    <t xml:space="preserve">TON commission </t>
  </si>
  <si>
    <t xml:space="preserve">Total commission </t>
  </si>
  <si>
    <t xml:space="preserve">Total excluding VAT </t>
  </si>
  <si>
    <t>N/A</t>
  </si>
  <si>
    <t>Deposit payment received</t>
  </si>
  <si>
    <t xml:space="preserve">Balance owed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</si>
</sst>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2" t="s">
        <v>7</v>
      </c>
      <c r="C3" s="2" t="s">
        <v>8</v>
      </c>
      <c r="D3" s="4">
        <f>1500*9+1600</f>
        <v>15100</v>
      </c>
      <c r="E3" s="5">
        <v>18000.0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 t="s">
        <v>9</v>
      </c>
      <c r="C4" s="2" t="s">
        <v>10</v>
      </c>
      <c r="D4" s="5">
        <v>3000.0</v>
      </c>
      <c r="E4" s="4">
        <f>D4*50/100+D4</f>
        <v>4500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2"/>
      <c r="C5" s="2"/>
      <c r="D5" s="4">
        <f t="shared" ref="D5:E5" si="1">SUM(D3:D4)</f>
        <v>18100</v>
      </c>
      <c r="E5" s="4">
        <f t="shared" si="1"/>
        <v>22500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11</v>
      </c>
      <c r="B7" s="2" t="s">
        <v>12</v>
      </c>
      <c r="C7" s="2" t="s">
        <v>13</v>
      </c>
      <c r="D7" s="5">
        <v>3000.0</v>
      </c>
      <c r="E7" s="4">
        <f>D7*50/100+D7</f>
        <v>4500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14</v>
      </c>
      <c r="B9" s="2" t="s">
        <v>15</v>
      </c>
      <c r="C9" s="2" t="s">
        <v>16</v>
      </c>
      <c r="D9" s="4">
        <v>5000.0</v>
      </c>
      <c r="E9" s="4">
        <f>D9*70/100+D9</f>
        <v>8500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 t="s">
        <v>15</v>
      </c>
      <c r="C10" s="2" t="s">
        <v>17</v>
      </c>
      <c r="D10" s="5">
        <v>3500.0</v>
      </c>
      <c r="E10" s="5">
        <v>5100.0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 t="s">
        <v>18</v>
      </c>
      <c r="C11" s="2" t="s">
        <v>19</v>
      </c>
      <c r="D11" s="5">
        <v>3500.0</v>
      </c>
      <c r="E11" s="5">
        <v>5100.0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 t="s">
        <v>20</v>
      </c>
      <c r="C12" s="2" t="s">
        <v>21</v>
      </c>
      <c r="D12" s="5">
        <v>3500.0</v>
      </c>
      <c r="E12" s="5">
        <v>5100.0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 t="s">
        <v>22</v>
      </c>
      <c r="C13" s="2" t="s">
        <v>23</v>
      </c>
      <c r="D13" s="5">
        <v>3500.0</v>
      </c>
      <c r="E13" s="5">
        <v>5100.0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 t="s">
        <v>24</v>
      </c>
      <c r="C14" s="2" t="s">
        <v>25</v>
      </c>
      <c r="D14" s="5">
        <v>3500.0</v>
      </c>
      <c r="E14" s="5">
        <v>5100.0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5">
        <f t="shared" ref="D15:E15" si="2">SUM(D9:D14)</f>
        <v>22500</v>
      </c>
      <c r="E15" s="4">
        <f t="shared" si="2"/>
        <v>34000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2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26</v>
      </c>
      <c r="B17" s="2" t="s">
        <v>12</v>
      </c>
      <c r="C17" s="2" t="s">
        <v>10</v>
      </c>
      <c r="D17" s="4">
        <v>10000.0</v>
      </c>
      <c r="E17" s="4">
        <f>D17*50/100+D17</f>
        <v>15000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 t="s">
        <v>27</v>
      </c>
      <c r="D19" s="4">
        <f>SUM(D3:D4,D7,D15,D17)</f>
        <v>53600</v>
      </c>
      <c r="E19" s="4">
        <f>SUM(E5,E7,E15,E17)</f>
        <v>76000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 t="s">
        <v>28</v>
      </c>
      <c r="D20" s="4">
        <v>3000.0</v>
      </c>
      <c r="E20" s="4">
        <v>3000.0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2" t="s">
        <v>29</v>
      </c>
      <c r="D21" s="4">
        <v>0.0</v>
      </c>
      <c r="E21" s="4">
        <f>250*8</f>
        <v>2000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2" t="s">
        <v>30</v>
      </c>
      <c r="D22" s="4">
        <f>SUM(D19:D20)</f>
        <v>56600</v>
      </c>
      <c r="E22" s="4">
        <f>SUM(E19:E21)</f>
        <v>81000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31</v>
      </c>
      <c r="B23" s="4">
        <f>E22-D22</f>
        <v>24400</v>
      </c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32</v>
      </c>
      <c r="B24" s="4">
        <f>E19*20/100</f>
        <v>15200</v>
      </c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33</v>
      </c>
      <c r="B25" s="4">
        <f>B27*50/100</f>
        <v>19800</v>
      </c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34</v>
      </c>
      <c r="B26" s="4">
        <f>B27-B25</f>
        <v>19800</v>
      </c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35</v>
      </c>
      <c r="B27" s="4">
        <f>SUM(B23:B24)</f>
        <v>39600</v>
      </c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36</v>
      </c>
      <c r="B28" s="4">
        <f>SUM(E22,B24)</f>
        <v>96200</v>
      </c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17.0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2" t="s">
        <v>7</v>
      </c>
      <c r="C3" s="2" t="s">
        <v>8</v>
      </c>
      <c r="D3" s="4">
        <f>1500*5+2000</f>
        <v>9500</v>
      </c>
      <c r="E3" s="5">
        <v>10000.0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 t="s">
        <v>9</v>
      </c>
      <c r="C4" s="2" t="s">
        <v>10</v>
      </c>
      <c r="D4" s="5">
        <v>3000.0</v>
      </c>
      <c r="E4" s="4">
        <f>D4*50/100+D4</f>
        <v>4500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/>
      <c r="B5" s="2"/>
      <c r="C5" s="2"/>
      <c r="D5" s="4">
        <f t="shared" ref="D5:E5" si="1">SUM(D3:D4)</f>
        <v>12500</v>
      </c>
      <c r="E5" s="4">
        <f t="shared" si="1"/>
        <v>14500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C7" s="2"/>
      <c r="D7" s="5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11</v>
      </c>
      <c r="B8" s="2" t="s">
        <v>12</v>
      </c>
      <c r="C8" s="2" t="s">
        <v>13</v>
      </c>
      <c r="D8" s="5" t="s">
        <v>37</v>
      </c>
      <c r="E8" s="5" t="s">
        <v>37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14</v>
      </c>
      <c r="B10" s="2" t="s">
        <v>15</v>
      </c>
      <c r="C10" s="2" t="s">
        <v>16</v>
      </c>
      <c r="D10" s="4">
        <v>5000.0</v>
      </c>
      <c r="E10" s="4">
        <f>D10*70/100+D10</f>
        <v>8500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 t="s">
        <v>15</v>
      </c>
      <c r="C11" s="2" t="s">
        <v>17</v>
      </c>
      <c r="D11" s="5">
        <v>3500.0</v>
      </c>
      <c r="E11" s="5">
        <v>5100.0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 t="s">
        <v>18</v>
      </c>
      <c r="C12" s="2" t="s">
        <v>19</v>
      </c>
      <c r="D12" s="5">
        <v>3500.0</v>
      </c>
      <c r="E12" s="5">
        <v>5100.0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 t="s">
        <v>20</v>
      </c>
      <c r="C13" s="2" t="s">
        <v>21</v>
      </c>
      <c r="D13" s="5">
        <v>3500.0</v>
      </c>
      <c r="E13" s="5">
        <v>5100.0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 t="s">
        <v>22</v>
      </c>
      <c r="C14" s="2" t="s">
        <v>23</v>
      </c>
      <c r="D14" s="5">
        <v>3500.0</v>
      </c>
      <c r="E14" s="5">
        <v>5100.0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 t="s">
        <v>24</v>
      </c>
      <c r="C15" s="2" t="s">
        <v>25</v>
      </c>
      <c r="D15" s="5">
        <v>3500.0</v>
      </c>
      <c r="E15" s="5">
        <v>5100.0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5">
        <f t="shared" ref="D16:E16" si="2">SUM(D10:D15)</f>
        <v>22500</v>
      </c>
      <c r="E16" s="4">
        <f t="shared" si="2"/>
        <v>34000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26</v>
      </c>
      <c r="B18" s="2" t="s">
        <v>12</v>
      </c>
      <c r="C18" s="2" t="s">
        <v>10</v>
      </c>
      <c r="D18" s="4">
        <v>10000.0</v>
      </c>
      <c r="E18" s="4">
        <f>D18*50/100+D18</f>
        <v>15000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 t="s">
        <v>27</v>
      </c>
      <c r="D20" s="4">
        <f>SUM(D3:D4,D8,D16,D18)</f>
        <v>45000</v>
      </c>
      <c r="E20" s="4">
        <f>SUM(E5,E16,E18)</f>
        <v>63500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/>
      <c r="B21" s="2"/>
      <c r="C21" s="2" t="s">
        <v>28</v>
      </c>
      <c r="D21" s="4">
        <v>3000.0</v>
      </c>
      <c r="E21" s="4">
        <v>3000.0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/>
      <c r="B22" s="2"/>
      <c r="C22" s="2" t="s">
        <v>29</v>
      </c>
      <c r="D22" s="5">
        <v>2000.0</v>
      </c>
      <c r="E22" s="4">
        <f>250*8</f>
        <v>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/>
      <c r="B23" s="2"/>
      <c r="C23" s="2" t="s">
        <v>30</v>
      </c>
      <c r="D23" s="4">
        <f t="shared" ref="D23:E23" si="3">SUM(D20:D22)</f>
        <v>50000</v>
      </c>
      <c r="E23" s="4">
        <f t="shared" si="3"/>
        <v>68500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31</v>
      </c>
      <c r="B24" s="4">
        <f>E23-D23</f>
        <v>18500</v>
      </c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32</v>
      </c>
      <c r="B25" s="4">
        <f>E20*20/100</f>
        <v>12700</v>
      </c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33</v>
      </c>
      <c r="B26" s="4">
        <f>B28*50/100</f>
        <v>15600</v>
      </c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34</v>
      </c>
      <c r="B27" s="4">
        <f>B28-B26</f>
        <v>15600</v>
      </c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35</v>
      </c>
      <c r="B28" s="4">
        <f>SUM(B24:B25)</f>
        <v>31200</v>
      </c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36</v>
      </c>
      <c r="B29" s="4">
        <f>SUM(E23,B25)</f>
        <v>81200</v>
      </c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38</v>
      </c>
      <c r="B30" s="2">
        <f>B29/2</f>
        <v>40600</v>
      </c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39</v>
      </c>
      <c r="B31" s="2">
        <f>B29-B30</f>
        <v>40600</v>
      </c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drawing r:id="rId1"/>
</worksheet>
</file>