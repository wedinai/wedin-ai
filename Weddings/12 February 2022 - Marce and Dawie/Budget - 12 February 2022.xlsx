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Budget - 12 February 2022" sheetId="1" r:id="rId5"/>
  </sheets>
  <definedNames/>
  <calcPr/>
</workbook>
</file>

<file path=xl/sharedStrings.xml><?xml version="1.0" encoding="utf-8"?>
<sst xmlns="http://schemas.openxmlformats.org/spreadsheetml/2006/main" count="40" uniqueCount="37">
  <si>
    <t>Budget - 12 February 2022</t>
  </si>
  <si>
    <t>Set</t>
  </si>
  <si>
    <t>Musician Type</t>
  </si>
  <si>
    <t>Musician Name</t>
  </si>
  <si>
    <t>Rate</t>
  </si>
  <si>
    <t xml:space="preserve">Quoted rate </t>
  </si>
  <si>
    <t xml:space="preserve">Ceremony </t>
  </si>
  <si>
    <t xml:space="preserve">Tracks played through PA </t>
  </si>
  <si>
    <t>N/A</t>
  </si>
  <si>
    <t>Pre-drinks</t>
  </si>
  <si>
    <t xml:space="preserve">DJ </t>
  </si>
  <si>
    <t xml:space="preserve">TBC </t>
  </si>
  <si>
    <t xml:space="preserve">Saxophone/Trumpet </t>
  </si>
  <si>
    <t xml:space="preserve">Jamie Faull </t>
  </si>
  <si>
    <t xml:space="preserve">Dinner </t>
  </si>
  <si>
    <t xml:space="preserve">Francesca biancoli </t>
  </si>
  <si>
    <t xml:space="preserve">Vocals </t>
  </si>
  <si>
    <t xml:space="preserve">Nicholas Williams </t>
  </si>
  <si>
    <t>Bass</t>
  </si>
  <si>
    <t>Angelo Syster</t>
  </si>
  <si>
    <t xml:space="preserve">Guitar </t>
  </si>
  <si>
    <t xml:space="preserve">Kevin Gibson </t>
  </si>
  <si>
    <t xml:space="preserve">Drums </t>
  </si>
  <si>
    <t xml:space="preserve">Rus Nerwich </t>
  </si>
  <si>
    <t xml:space="preserve">Saxophone </t>
  </si>
  <si>
    <t xml:space="preserve">Party </t>
  </si>
  <si>
    <t xml:space="preserve">Colin Sher </t>
  </si>
  <si>
    <t xml:space="preserve">Total musician expense </t>
  </si>
  <si>
    <t xml:space="preserve">Total expense </t>
  </si>
  <si>
    <t xml:space="preserve">Built in commission </t>
  </si>
  <si>
    <t xml:space="preserve">Booking fee - 20% </t>
  </si>
  <si>
    <t xml:space="preserve">Total commission </t>
  </si>
  <si>
    <t xml:space="preserve">Dani commission </t>
  </si>
  <si>
    <t xml:space="preserve">TON commission </t>
  </si>
  <si>
    <t xml:space="preserve">Total excluding VAT </t>
  </si>
  <si>
    <t xml:space="preserve">Deposit payment </t>
  </si>
  <si>
    <t>Balance of payment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</si>
</sst>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readingOrder="0"/>
    </xf>
    <xf borderId="4" fillId="0" fontId="1" numFmtId="0" xfId="0" applyBorder="1" applyFont="1"/>
    <xf borderId="0" fillId="2" fontId="3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4" t="s">
        <v>6</v>
      </c>
      <c r="B3" s="4" t="s">
        <v>7</v>
      </c>
      <c r="C3" s="4" t="s">
        <v>8</v>
      </c>
      <c r="D3" s="4" t="s">
        <v>8</v>
      </c>
      <c r="E3" s="4" t="s">
        <v>8</v>
      </c>
    </row>
    <row r="4">
      <c r="A4" s="4" t="s">
        <v>9</v>
      </c>
      <c r="B4" s="4" t="s">
        <v>10</v>
      </c>
      <c r="C4" s="4" t="s">
        <v>11</v>
      </c>
      <c r="D4" s="4">
        <v>0.0</v>
      </c>
      <c r="E4" s="4">
        <v>5000.0</v>
      </c>
    </row>
    <row r="5">
      <c r="A5" s="5"/>
      <c r="B5" s="4" t="s">
        <v>12</v>
      </c>
      <c r="C5" s="4" t="s">
        <v>13</v>
      </c>
      <c r="D5" s="4">
        <v>3500.0</v>
      </c>
      <c r="E5" s="4">
        <v>4500.0</v>
      </c>
    </row>
    <row r="6">
      <c r="A6" s="4"/>
      <c r="B6" s="4"/>
      <c r="C6" s="4"/>
      <c r="D6" s="4">
        <f t="shared" ref="D6:E6" si="1">SUM(D4:D5)</f>
        <v>3500</v>
      </c>
      <c r="E6" s="5">
        <f t="shared" si="1"/>
        <v>9500</v>
      </c>
    </row>
    <row r="7">
      <c r="A7" s="4"/>
      <c r="B7" s="4"/>
      <c r="C7" s="4"/>
      <c r="D7" s="4"/>
      <c r="E7" s="5"/>
    </row>
    <row r="8">
      <c r="A8" s="4" t="s">
        <v>14</v>
      </c>
      <c r="B8" s="4" t="s">
        <v>15</v>
      </c>
      <c r="C8" s="4" t="s">
        <v>16</v>
      </c>
      <c r="D8" s="4">
        <v>4000.0</v>
      </c>
      <c r="E8" s="4">
        <v>5000.0</v>
      </c>
      <c r="G8" s="6"/>
    </row>
    <row r="9">
      <c r="A9" s="5"/>
      <c r="B9" s="4" t="s">
        <v>17</v>
      </c>
      <c r="C9" s="4" t="s">
        <v>18</v>
      </c>
      <c r="D9" s="4">
        <v>4000.0</v>
      </c>
      <c r="E9" s="4">
        <v>5000.0</v>
      </c>
      <c r="G9" s="6"/>
    </row>
    <row r="10">
      <c r="A10" s="4"/>
      <c r="B10" s="4" t="s">
        <v>19</v>
      </c>
      <c r="C10" s="4" t="s">
        <v>20</v>
      </c>
      <c r="D10" s="4">
        <v>4000.0</v>
      </c>
      <c r="E10" s="4">
        <v>5000.0</v>
      </c>
      <c r="G10" s="6"/>
    </row>
    <row r="11">
      <c r="A11" s="4"/>
      <c r="B11" s="4" t="s">
        <v>21</v>
      </c>
      <c r="C11" s="4" t="s">
        <v>22</v>
      </c>
      <c r="D11" s="4">
        <v>4000.0</v>
      </c>
      <c r="E11" s="4">
        <v>5000.0</v>
      </c>
      <c r="G11" s="6"/>
    </row>
    <row r="12">
      <c r="A12" s="4"/>
      <c r="B12" s="4" t="s">
        <v>23</v>
      </c>
      <c r="C12" s="4" t="s">
        <v>24</v>
      </c>
      <c r="D12" s="4">
        <v>4000.0</v>
      </c>
      <c r="E12" s="4">
        <v>5000.0</v>
      </c>
    </row>
    <row r="13">
      <c r="A13" s="4"/>
      <c r="B13" s="4"/>
      <c r="C13" s="4"/>
      <c r="D13" s="4">
        <f t="shared" ref="D13:E13" si="2">SUM(D8:D12)</f>
        <v>20000</v>
      </c>
      <c r="E13" s="5">
        <f t="shared" si="2"/>
        <v>25000</v>
      </c>
    </row>
    <row r="14">
      <c r="A14" s="4"/>
      <c r="B14" s="4"/>
      <c r="C14" s="4"/>
      <c r="D14" s="4"/>
      <c r="E14" s="5"/>
    </row>
    <row r="15">
      <c r="A15" s="4"/>
      <c r="B15" s="4"/>
      <c r="C15" s="4"/>
      <c r="D15" s="4"/>
      <c r="E15" s="5"/>
    </row>
    <row r="16">
      <c r="A16" s="4" t="s">
        <v>25</v>
      </c>
      <c r="B16" s="4" t="s">
        <v>10</v>
      </c>
      <c r="C16" s="4" t="s">
        <v>26</v>
      </c>
      <c r="D16" s="4">
        <f>2500*5</f>
        <v>12500</v>
      </c>
      <c r="E16" s="5">
        <f>D16*20/100+D16</f>
        <v>15000</v>
      </c>
    </row>
    <row r="17">
      <c r="A17" s="5"/>
      <c r="B17" s="5"/>
      <c r="C17" s="4" t="s">
        <v>27</v>
      </c>
      <c r="D17" s="5">
        <f>SUM(D6,D8,D9:D12,D16)</f>
        <v>36000</v>
      </c>
      <c r="E17" s="5">
        <f>SUM(E6,E13,E16)</f>
        <v>49500</v>
      </c>
    </row>
    <row r="18">
      <c r="A18" s="5"/>
      <c r="B18" s="5"/>
      <c r="C18" s="4" t="s">
        <v>28</v>
      </c>
      <c r="D18" s="5">
        <f t="shared" ref="D18:E18" si="3">SUM(D17)</f>
        <v>36000</v>
      </c>
      <c r="E18" s="5">
        <f t="shared" si="3"/>
        <v>49500</v>
      </c>
    </row>
    <row r="19">
      <c r="A19" s="4" t="s">
        <v>29</v>
      </c>
      <c r="B19" s="5">
        <f>E18-D18</f>
        <v>13500</v>
      </c>
      <c r="C19" s="5"/>
      <c r="D19" s="5">
        <f>SUM(D9,D4,D5,D16,B22)</f>
        <v>31700</v>
      </c>
      <c r="E19" s="5"/>
    </row>
    <row r="20">
      <c r="A20" s="4" t="s">
        <v>30</v>
      </c>
      <c r="B20" s="5">
        <f>E17*20/100</f>
        <v>9900</v>
      </c>
      <c r="C20" s="5"/>
      <c r="D20" s="5"/>
      <c r="E20" s="5"/>
    </row>
    <row r="21">
      <c r="A21" s="4" t="s">
        <v>31</v>
      </c>
      <c r="B21" s="5">
        <f>SUM(B19:B20)</f>
        <v>23400</v>
      </c>
      <c r="C21" s="5"/>
      <c r="D21" s="5"/>
      <c r="E21" s="5"/>
    </row>
    <row r="22">
      <c r="A22" s="4" t="s">
        <v>32</v>
      </c>
      <c r="B22" s="5">
        <f>B21/2</f>
        <v>11700</v>
      </c>
      <c r="C22" s="5">
        <f>B22-3000</f>
        <v>8700</v>
      </c>
      <c r="D22" s="5"/>
      <c r="E22" s="5"/>
    </row>
    <row r="23">
      <c r="A23" s="4" t="s">
        <v>33</v>
      </c>
      <c r="B23" s="5">
        <f>B21-B22</f>
        <v>11700</v>
      </c>
      <c r="C23" s="5"/>
      <c r="D23" s="5"/>
      <c r="E23" s="5"/>
    </row>
    <row r="24">
      <c r="A24" s="4" t="s">
        <v>34</v>
      </c>
      <c r="B24" s="5">
        <f>SUM(E18,B20)</f>
        <v>59400</v>
      </c>
      <c r="C24" s="5"/>
      <c r="D24" s="5"/>
      <c r="E24" s="5"/>
    </row>
    <row r="25">
      <c r="A25" s="7" t="s">
        <v>35</v>
      </c>
      <c r="B25" s="8">
        <f>B24/2</f>
        <v>29700</v>
      </c>
    </row>
    <row r="26">
      <c r="A26" s="7" t="s">
        <v>36</v>
      </c>
      <c r="B26" s="8">
        <f>B24-B25</f>
        <v>29700</v>
      </c>
    </row>
  </sheetData>
  <mergeCells count="1">
    <mergeCell ref="A1:E1"/>
  </mergeCells>
  <drawing r:id="rId1"/>
</worksheet>
</file>