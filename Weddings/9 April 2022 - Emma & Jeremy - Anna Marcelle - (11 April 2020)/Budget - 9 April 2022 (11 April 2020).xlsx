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budget - 11 April 2020" sheetId="1" r:id="rId4"/>
    <sheet state="visible" name="Revised budget - 9 April 2022 " sheetId="2" r:id="rId5"/>
  </sheets>
  <definedNames/>
  <calcPr/>
  <extLst>
    <ext uri="GoogleSheetsCustomDataVersion1">
      <go:sheetsCustomData xmlns:go="http://customooxmlschemas.google.com/" r:id="rId6" roundtripDataSignature="AMtx7miHayBVCdpekCeRbx6dxBGZNHg0j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42">
      <text>
        <t xml:space="preserve">======
ID#AAAALwCCN5E
Daniela Marano    (2021-03-31 18:43:31)
Option Two includes Haydn, Sylvestre, dance band + DJ</t>
      </text>
    </comment>
    <comment authorId="0" ref="A34">
      <text>
        <t xml:space="preserve">======
ID#AAAALwCCN5A
Daniela Marano    (2021-03-31 18:43:31)
Option one includes Louise + keys, Sylvestre, Dance band _ DJ</t>
      </text>
    </comment>
    <comment authorId="0" ref="A50">
      <text>
        <t xml:space="preserve">======
ID#AAAALwCCN48
Daniela Marano    (2021-03-31 18:43:31)
Option Three includes Louise + Keys, Jazz quartet, dance band + DJ</t>
      </text>
    </comment>
    <comment authorId="0" ref="A58">
      <text>
        <t xml:space="preserve">======
ID#AAAALwCCN44
Daniela Marano    (2021-03-31 18:43:31)
Option Four includes Haydn, Jazz quartet, Dance band + DJ</t>
      </text>
    </comment>
  </commentList>
  <extLst>
    <ext uri="GoogleSheetsCustomDataVersion1">
      <go:sheetsCustomData xmlns:go="http://customooxmlschemas.google.com/" r:id="rId1" roundtripDataSignature="AMtx7mgGCxipC2LdfQ6wDfriqDFyKQ6c8Q=="/>
    </ext>
  </extLst>
</comments>
</file>

<file path=xl/sharedStrings.xml><?xml version="1.0" encoding="utf-8"?>
<sst xmlns="http://schemas.openxmlformats.org/spreadsheetml/2006/main" count="131" uniqueCount="63">
  <si>
    <t>Budget - 9 April 2022</t>
  </si>
  <si>
    <t xml:space="preserve">Set </t>
  </si>
  <si>
    <t xml:space="preserve">Musician Type </t>
  </si>
  <si>
    <t xml:space="preserve">Musician Name </t>
  </si>
  <si>
    <t>Rate</t>
  </si>
  <si>
    <t xml:space="preserve"> Quoted Rate </t>
  </si>
  <si>
    <t>Ceremony: Option One</t>
  </si>
  <si>
    <t xml:space="preserve">Singer </t>
  </si>
  <si>
    <t xml:space="preserve">Louise Howlett </t>
  </si>
  <si>
    <t>Keys player</t>
  </si>
  <si>
    <t xml:space="preserve">TBC </t>
  </si>
  <si>
    <t xml:space="preserve">Ceremony: Option Two </t>
  </si>
  <si>
    <t xml:space="preserve">Solo + Vocals </t>
  </si>
  <si>
    <t>Haydn Gardner</t>
  </si>
  <si>
    <t xml:space="preserve">Pre-drinks: Option One </t>
  </si>
  <si>
    <t xml:space="preserve">Trio </t>
  </si>
  <si>
    <t xml:space="preserve">Sylvestre Kabbasiddi Trio </t>
  </si>
  <si>
    <t xml:space="preserve">Pre-drinks: Option Two </t>
  </si>
  <si>
    <t xml:space="preserve">Saxophone </t>
  </si>
  <si>
    <t xml:space="preserve">Rus Nerwich </t>
  </si>
  <si>
    <t xml:space="preserve">Keys </t>
  </si>
  <si>
    <t xml:space="preserve">Nicholas Williams </t>
  </si>
  <si>
    <t xml:space="preserve">Double Bass </t>
  </si>
  <si>
    <t xml:space="preserve">Wesley Rustin </t>
  </si>
  <si>
    <t xml:space="preserve">Drums </t>
  </si>
  <si>
    <t xml:space="preserve">Kevin Gibson </t>
  </si>
  <si>
    <t xml:space="preserve">Dinner </t>
  </si>
  <si>
    <t xml:space="preserve">DJ </t>
  </si>
  <si>
    <t xml:space="preserve">Dance: </t>
  </si>
  <si>
    <t xml:space="preserve">Vocals </t>
  </si>
  <si>
    <t xml:space="preserve">Keeno-Lee Hector </t>
  </si>
  <si>
    <t xml:space="preserve">Guitar </t>
  </si>
  <si>
    <t xml:space="preserve">Angelo Syster </t>
  </si>
  <si>
    <t xml:space="preserve">Bass </t>
  </si>
  <si>
    <t xml:space="preserve">Andrew Ford </t>
  </si>
  <si>
    <t>Drums</t>
  </si>
  <si>
    <t xml:space="preserve">Party: </t>
  </si>
  <si>
    <t xml:space="preserve">Option One </t>
  </si>
  <si>
    <t xml:space="preserve">Musician expense </t>
  </si>
  <si>
    <t xml:space="preserve">Option Two </t>
  </si>
  <si>
    <t xml:space="preserve">Option Three </t>
  </si>
  <si>
    <t xml:space="preserve">Option Four </t>
  </si>
  <si>
    <t xml:space="preserve">Musical coordination </t>
  </si>
  <si>
    <t xml:space="preserve">Petrol </t>
  </si>
  <si>
    <t xml:space="preserve">Built in commission </t>
  </si>
  <si>
    <t xml:space="preserve">Booking fee - 20% </t>
  </si>
  <si>
    <t xml:space="preserve">Total commission </t>
  </si>
  <si>
    <t xml:space="preserve">Total excluding VAT </t>
  </si>
  <si>
    <t xml:space="preserve">VAT </t>
  </si>
  <si>
    <t xml:space="preserve">Total including VAT </t>
  </si>
  <si>
    <t>Option Three</t>
  </si>
  <si>
    <t xml:space="preserve">Budget - 9 April 2022 </t>
  </si>
  <si>
    <t xml:space="preserve">Choir </t>
  </si>
  <si>
    <t xml:space="preserve">Asili Vocal Ensemble </t>
  </si>
  <si>
    <t>Nathan Ambach</t>
  </si>
  <si>
    <t xml:space="preserve">Francesca Biancoli </t>
  </si>
  <si>
    <t xml:space="preserve">Trumpet </t>
  </si>
  <si>
    <t xml:space="preserve">Lee Thomson </t>
  </si>
  <si>
    <t xml:space="preserve">Total expense </t>
  </si>
  <si>
    <t xml:space="preserve">Dani commission </t>
  </si>
  <si>
    <t xml:space="preserve">TON commission </t>
  </si>
  <si>
    <t xml:space="preserve">Deposit payment received </t>
  </si>
  <si>
    <t>Balance 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</si>
</sst>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sz val="11.0"/>
      <color theme="1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Font="1"/>
    <xf borderId="1" fillId="0" fontId="3" numFmtId="0" xfId="0" applyBorder="1" applyFont="1"/>
    <xf borderId="1" fillId="0" fontId="3" numFmtId="3" xfId="0" applyBorder="1" applyFont="1" applyNumberFormat="1"/>
    <xf borderId="2" fillId="0" fontId="3" numFmtId="0" xfId="0" applyBorder="1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2.38"/>
    <col customWidth="1" min="3" max="3" width="24.88"/>
    <col customWidth="1" min="4" max="4" width="7.63"/>
    <col customWidth="1" min="5" max="5" width="11.5"/>
    <col customWidth="1" min="6" max="26" width="7.63"/>
  </cols>
  <sheetData>
    <row r="1">
      <c r="A1" s="1" t="s">
        <v>0</v>
      </c>
      <c r="B1" s="2"/>
      <c r="C1" s="2"/>
      <c r="D1" s="2"/>
      <c r="E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2" t="s">
        <v>7</v>
      </c>
      <c r="C3" s="2" t="s">
        <v>8</v>
      </c>
      <c r="D3" s="2">
        <v>3000.0</v>
      </c>
      <c r="E3" s="2">
        <f t="shared" ref="E3:E5" si="1">D3*70/100+D3</f>
        <v>5100</v>
      </c>
    </row>
    <row r="4">
      <c r="A4" s="2"/>
      <c r="B4" s="2" t="s">
        <v>9</v>
      </c>
      <c r="C4" s="2" t="s">
        <v>10</v>
      </c>
      <c r="D4" s="2">
        <v>2000.0</v>
      </c>
      <c r="E4" s="2">
        <f t="shared" si="1"/>
        <v>3400</v>
      </c>
      <c r="F4" s="3">
        <f>SUM(E3:E4)</f>
        <v>8500</v>
      </c>
    </row>
    <row r="5">
      <c r="A5" s="2" t="s">
        <v>11</v>
      </c>
      <c r="B5" s="2" t="s">
        <v>12</v>
      </c>
      <c r="C5" s="2" t="s">
        <v>13</v>
      </c>
      <c r="D5" s="2">
        <v>2500.0</v>
      </c>
      <c r="E5" s="2">
        <f t="shared" si="1"/>
        <v>4250</v>
      </c>
    </row>
    <row r="6">
      <c r="A6" s="2"/>
      <c r="B6" s="2"/>
      <c r="C6" s="2"/>
      <c r="D6" s="2"/>
      <c r="E6" s="2"/>
    </row>
    <row r="7">
      <c r="A7" s="2" t="s">
        <v>14</v>
      </c>
      <c r="B7" s="2" t="s">
        <v>15</v>
      </c>
      <c r="C7" s="2" t="s">
        <v>16</v>
      </c>
      <c r="D7" s="2">
        <v>12000.0</v>
      </c>
      <c r="E7" s="2">
        <f>D7*20/100+D7</f>
        <v>14400</v>
      </c>
    </row>
    <row r="8">
      <c r="A8" s="2"/>
      <c r="B8" s="2"/>
      <c r="C8" s="2"/>
      <c r="D8" s="2"/>
      <c r="E8" s="2"/>
    </row>
    <row r="9">
      <c r="A9" s="2" t="s">
        <v>17</v>
      </c>
      <c r="B9" s="2" t="s">
        <v>18</v>
      </c>
      <c r="C9" s="2" t="s">
        <v>19</v>
      </c>
      <c r="D9" s="2">
        <v>2500.0</v>
      </c>
      <c r="E9" s="2">
        <f t="shared" ref="E9:E12" si="2">D9*70/100+D9</f>
        <v>4250</v>
      </c>
    </row>
    <row r="10">
      <c r="A10" s="2"/>
      <c r="B10" s="2" t="s">
        <v>20</v>
      </c>
      <c r="C10" s="2" t="s">
        <v>21</v>
      </c>
      <c r="D10" s="2">
        <v>2500.0</v>
      </c>
      <c r="E10" s="2">
        <f t="shared" si="2"/>
        <v>4250</v>
      </c>
    </row>
    <row r="11">
      <c r="A11" s="2"/>
      <c r="B11" s="2" t="s">
        <v>22</v>
      </c>
      <c r="C11" s="2" t="s">
        <v>23</v>
      </c>
      <c r="D11" s="2">
        <v>2500.0</v>
      </c>
      <c r="E11" s="2">
        <f t="shared" si="2"/>
        <v>4250</v>
      </c>
    </row>
    <row r="12">
      <c r="A12" s="2"/>
      <c r="B12" s="2" t="s">
        <v>24</v>
      </c>
      <c r="C12" s="2" t="s">
        <v>25</v>
      </c>
      <c r="D12" s="2">
        <v>2500.0</v>
      </c>
      <c r="E12" s="2">
        <f t="shared" si="2"/>
        <v>4250</v>
      </c>
    </row>
    <row r="13">
      <c r="A13" s="2"/>
      <c r="B13" s="2"/>
      <c r="C13" s="2"/>
      <c r="D13" s="2">
        <f t="shared" ref="D13:E13" si="3">SUM(D9:D12)</f>
        <v>10000</v>
      </c>
      <c r="E13" s="2">
        <f t="shared" si="3"/>
        <v>17000</v>
      </c>
    </row>
    <row r="14">
      <c r="A14" s="2"/>
      <c r="B14" s="2"/>
      <c r="C14" s="2"/>
      <c r="D14" s="2"/>
      <c r="E14" s="2"/>
    </row>
    <row r="15">
      <c r="A15" s="2" t="s">
        <v>26</v>
      </c>
      <c r="B15" s="2" t="s">
        <v>27</v>
      </c>
      <c r="C15" s="2" t="s">
        <v>19</v>
      </c>
      <c r="D15" s="2">
        <v>2500.0</v>
      </c>
      <c r="E15" s="2">
        <f>D15*70/100+D15</f>
        <v>4250</v>
      </c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 t="s">
        <v>28</v>
      </c>
      <c r="B18" s="2" t="s">
        <v>29</v>
      </c>
      <c r="C18" s="2" t="s">
        <v>30</v>
      </c>
      <c r="D18" s="2">
        <v>5000.0</v>
      </c>
      <c r="E18" s="2">
        <f t="shared" ref="E18:E23" si="4">D18*70/100+D18</f>
        <v>8500</v>
      </c>
    </row>
    <row r="19">
      <c r="A19" s="2"/>
      <c r="B19" s="2" t="s">
        <v>18</v>
      </c>
      <c r="C19" s="2" t="s">
        <v>19</v>
      </c>
      <c r="D19" s="2">
        <v>2500.0</v>
      </c>
      <c r="E19" s="2">
        <f t="shared" si="4"/>
        <v>4250</v>
      </c>
    </row>
    <row r="20">
      <c r="A20" s="2"/>
      <c r="B20" s="2" t="s">
        <v>31</v>
      </c>
      <c r="C20" s="2" t="s">
        <v>32</v>
      </c>
      <c r="D20" s="2">
        <v>2500.0</v>
      </c>
      <c r="E20" s="2">
        <f t="shared" si="4"/>
        <v>4250</v>
      </c>
    </row>
    <row r="21" ht="15.75" customHeight="1">
      <c r="A21" s="2"/>
      <c r="B21" s="2" t="s">
        <v>33</v>
      </c>
      <c r="C21" s="2" t="s">
        <v>21</v>
      </c>
      <c r="D21" s="2">
        <v>2500.0</v>
      </c>
      <c r="E21" s="2">
        <f t="shared" si="4"/>
        <v>4250</v>
      </c>
    </row>
    <row r="22" ht="15.75" customHeight="1">
      <c r="A22" s="2"/>
      <c r="B22" s="2" t="s">
        <v>20</v>
      </c>
      <c r="C22" s="2" t="s">
        <v>34</v>
      </c>
      <c r="D22" s="2">
        <v>2500.0</v>
      </c>
      <c r="E22" s="2">
        <f t="shared" si="4"/>
        <v>4250</v>
      </c>
    </row>
    <row r="23" ht="15.75" customHeight="1">
      <c r="A23" s="2"/>
      <c r="B23" s="2" t="s">
        <v>35</v>
      </c>
      <c r="C23" s="2" t="s">
        <v>25</v>
      </c>
      <c r="D23" s="2">
        <v>2500.0</v>
      </c>
      <c r="E23" s="2">
        <f t="shared" si="4"/>
        <v>4250</v>
      </c>
    </row>
    <row r="24" ht="15.75" customHeight="1">
      <c r="A24" s="2"/>
      <c r="B24" s="2"/>
      <c r="C24" s="2"/>
      <c r="D24" s="2">
        <f t="shared" ref="D24:E24" si="5">SUM(D18:D23)</f>
        <v>17500</v>
      </c>
      <c r="E24" s="2">
        <f t="shared" si="5"/>
        <v>29750</v>
      </c>
    </row>
    <row r="25" ht="15.75" customHeight="1">
      <c r="A25" s="2"/>
      <c r="B25" s="2"/>
      <c r="C25" s="2"/>
      <c r="D25" s="2"/>
      <c r="E25" s="2"/>
    </row>
    <row r="26" ht="15.75" customHeight="1">
      <c r="A26" s="2" t="s">
        <v>36</v>
      </c>
      <c r="B26" s="2" t="s">
        <v>27</v>
      </c>
      <c r="C26" s="2" t="s">
        <v>10</v>
      </c>
      <c r="D26" s="2">
        <v>10000.0</v>
      </c>
      <c r="E26" s="2">
        <f>D26*20/100+D26</f>
        <v>12000</v>
      </c>
    </row>
    <row r="27" ht="15.75" customHeight="1">
      <c r="A27" s="2"/>
      <c r="B27" s="2" t="s">
        <v>37</v>
      </c>
      <c r="C27" s="2" t="s">
        <v>38</v>
      </c>
      <c r="D27" s="2">
        <f t="shared" ref="D27:E27" si="6">SUM(D3:D4,D7,D15,D24,D26)</f>
        <v>47000</v>
      </c>
      <c r="E27" s="2">
        <f t="shared" si="6"/>
        <v>68900</v>
      </c>
    </row>
    <row r="28" ht="15.75" customHeight="1">
      <c r="A28" s="2"/>
      <c r="B28" s="2" t="s">
        <v>39</v>
      </c>
      <c r="C28" s="2" t="s">
        <v>38</v>
      </c>
      <c r="D28" s="2">
        <f t="shared" ref="D28:E28" si="7">SUM(D5,D7,D15,D24,D26)</f>
        <v>44500</v>
      </c>
      <c r="E28" s="2">
        <f t="shared" si="7"/>
        <v>64650</v>
      </c>
    </row>
    <row r="29" ht="15.75" customHeight="1">
      <c r="A29" s="2"/>
      <c r="B29" s="2" t="s">
        <v>40</v>
      </c>
      <c r="C29" s="2" t="s">
        <v>38</v>
      </c>
      <c r="D29" s="2">
        <f t="shared" ref="D29:E29" si="8">SUM(D3:D4,D13,D15,D24,D26)</f>
        <v>45000</v>
      </c>
      <c r="E29" s="2">
        <f t="shared" si="8"/>
        <v>71500</v>
      </c>
    </row>
    <row r="30" ht="15.75" customHeight="1">
      <c r="A30" s="2"/>
      <c r="B30" s="2" t="s">
        <v>41</v>
      </c>
      <c r="C30" s="2" t="s">
        <v>38</v>
      </c>
      <c r="D30" s="2">
        <f t="shared" ref="D30:E30" si="9">SUM(D5,D13,D15,D24,D26)</f>
        <v>42500</v>
      </c>
      <c r="E30" s="2">
        <f t="shared" si="9"/>
        <v>67250</v>
      </c>
    </row>
    <row r="31" ht="15.75" customHeight="1">
      <c r="A31" s="2"/>
      <c r="B31" s="2"/>
      <c r="C31" s="2" t="s">
        <v>42</v>
      </c>
      <c r="D31" s="2">
        <v>3000.0</v>
      </c>
      <c r="E31" s="2">
        <v>3000.0</v>
      </c>
    </row>
    <row r="32" ht="15.75" customHeight="1">
      <c r="A32" s="2"/>
      <c r="B32" s="2"/>
      <c r="C32" s="2" t="s">
        <v>43</v>
      </c>
      <c r="D32" s="2">
        <f t="shared" ref="D32:E32" si="10">250*8</f>
        <v>2000</v>
      </c>
      <c r="E32" s="2">
        <f t="shared" si="10"/>
        <v>2000</v>
      </c>
    </row>
    <row r="33" ht="15.75" customHeight="1">
      <c r="A33" s="2"/>
      <c r="B33" s="2"/>
      <c r="C33" s="2"/>
      <c r="D33" s="2"/>
      <c r="E33" s="2"/>
    </row>
    <row r="34" ht="15.75" customHeight="1">
      <c r="A34" s="2" t="s">
        <v>37</v>
      </c>
      <c r="B34" s="2"/>
      <c r="C34" s="2"/>
      <c r="D34" s="2"/>
      <c r="E34" s="2"/>
    </row>
    <row r="35" ht="15.75" customHeight="1">
      <c r="A35" s="2" t="s">
        <v>44</v>
      </c>
      <c r="B35" s="2">
        <f>E27-D27</f>
        <v>21900</v>
      </c>
      <c r="C35" s="2"/>
      <c r="D35" s="2"/>
      <c r="E35" s="2"/>
    </row>
    <row r="36" ht="15.75" customHeight="1">
      <c r="A36" s="2" t="s">
        <v>45</v>
      </c>
      <c r="B36" s="2">
        <f>E27*20/100</f>
        <v>13780</v>
      </c>
      <c r="C36" s="2"/>
      <c r="D36" s="2"/>
      <c r="E36" s="2"/>
    </row>
    <row r="37" ht="15.75" customHeight="1">
      <c r="A37" s="2" t="s">
        <v>46</v>
      </c>
      <c r="B37" s="2">
        <f>SUM(B35:B36)</f>
        <v>35680</v>
      </c>
      <c r="C37" s="2"/>
      <c r="D37" s="2"/>
      <c r="E37" s="2"/>
    </row>
    <row r="38" ht="15.75" customHeight="1">
      <c r="A38" s="2" t="s">
        <v>47</v>
      </c>
      <c r="B38" s="2">
        <f>SUM(E27,E31:E32,B36)</f>
        <v>87680</v>
      </c>
      <c r="C38" s="2"/>
      <c r="D38" s="2"/>
      <c r="E38" s="2"/>
    </row>
    <row r="39" ht="15.75" customHeight="1">
      <c r="A39" s="2" t="s">
        <v>48</v>
      </c>
      <c r="B39" s="2">
        <f>B38*15/100</f>
        <v>13152</v>
      </c>
      <c r="C39" s="2"/>
      <c r="D39" s="2"/>
      <c r="E39" s="2"/>
    </row>
    <row r="40" ht="15.75" customHeight="1">
      <c r="A40" s="2" t="s">
        <v>49</v>
      </c>
      <c r="B40" s="2">
        <f>SUM(B38:B39)</f>
        <v>100832</v>
      </c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 t="s">
        <v>39</v>
      </c>
      <c r="B42" s="2"/>
      <c r="C42" s="2"/>
      <c r="D42" s="2"/>
      <c r="E42" s="2"/>
    </row>
    <row r="43" ht="15.75" customHeight="1">
      <c r="A43" s="2" t="s">
        <v>44</v>
      </c>
      <c r="B43" s="2">
        <f>E28-D28</f>
        <v>20150</v>
      </c>
      <c r="C43" s="2"/>
      <c r="D43" s="2"/>
      <c r="E43" s="2"/>
    </row>
    <row r="44" ht="15.75" customHeight="1">
      <c r="A44" s="2" t="s">
        <v>45</v>
      </c>
      <c r="B44" s="2">
        <f>E28*20/100</f>
        <v>12930</v>
      </c>
      <c r="C44" s="2"/>
      <c r="D44" s="2"/>
      <c r="E44" s="2"/>
    </row>
    <row r="45" ht="15.75" customHeight="1">
      <c r="A45" s="2" t="s">
        <v>46</v>
      </c>
      <c r="B45" s="2">
        <f>SUM(B43:B44)</f>
        <v>33080</v>
      </c>
      <c r="C45" s="2"/>
      <c r="D45" s="2"/>
      <c r="E45" s="2"/>
    </row>
    <row r="46" ht="15.75" customHeight="1">
      <c r="A46" s="2" t="s">
        <v>47</v>
      </c>
      <c r="B46" s="2">
        <f>SUM(E28,E31:E32,B44)</f>
        <v>82580</v>
      </c>
      <c r="C46" s="2"/>
      <c r="D46" s="2"/>
      <c r="E46" s="2"/>
    </row>
    <row r="47" ht="15.75" customHeight="1">
      <c r="A47" s="2" t="s">
        <v>48</v>
      </c>
      <c r="B47" s="2">
        <f>B46*15/100</f>
        <v>12387</v>
      </c>
      <c r="C47" s="2"/>
      <c r="D47" s="2"/>
      <c r="E47" s="2"/>
    </row>
    <row r="48" ht="15.75" customHeight="1">
      <c r="A48" s="2" t="s">
        <v>49</v>
      </c>
      <c r="B48" s="2">
        <f>SUM(B46:B47)</f>
        <v>94967</v>
      </c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 t="s">
        <v>50</v>
      </c>
      <c r="B50" s="2"/>
      <c r="C50" s="2"/>
      <c r="D50" s="2"/>
      <c r="E50" s="2"/>
    </row>
    <row r="51" ht="15.75" customHeight="1">
      <c r="A51" s="2" t="s">
        <v>44</v>
      </c>
      <c r="B51" s="2">
        <f>E29-D29</f>
        <v>26500</v>
      </c>
      <c r="C51" s="2"/>
      <c r="D51" s="2"/>
      <c r="E51" s="2"/>
    </row>
    <row r="52" ht="15.75" customHeight="1">
      <c r="A52" s="2" t="s">
        <v>45</v>
      </c>
      <c r="B52" s="2">
        <f>E29*20/100</f>
        <v>14300</v>
      </c>
      <c r="C52" s="2"/>
      <c r="D52" s="2"/>
      <c r="E52" s="2"/>
    </row>
    <row r="53" ht="15.75" customHeight="1">
      <c r="A53" s="2" t="s">
        <v>46</v>
      </c>
      <c r="B53" s="2">
        <f>SUM(B51:B52)</f>
        <v>40800</v>
      </c>
      <c r="C53" s="2"/>
      <c r="D53" s="2"/>
      <c r="E53" s="2"/>
    </row>
    <row r="54" ht="15.75" customHeight="1">
      <c r="A54" s="2" t="s">
        <v>47</v>
      </c>
      <c r="B54" s="2">
        <f>SUM(E29,E31:E32,B52)</f>
        <v>90800</v>
      </c>
      <c r="C54" s="2"/>
      <c r="D54" s="2"/>
      <c r="E54" s="2"/>
    </row>
    <row r="55" ht="15.75" customHeight="1">
      <c r="A55" s="2" t="s">
        <v>48</v>
      </c>
      <c r="B55" s="2">
        <f>B54*15/100</f>
        <v>13620</v>
      </c>
      <c r="C55" s="2"/>
      <c r="D55" s="2"/>
      <c r="E55" s="2"/>
    </row>
    <row r="56" ht="15.75" customHeight="1">
      <c r="A56" s="2" t="s">
        <v>49</v>
      </c>
      <c r="B56" s="2">
        <f>SUM(B54:B55)</f>
        <v>104420</v>
      </c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 t="s">
        <v>41</v>
      </c>
      <c r="B58" s="2"/>
      <c r="C58" s="2"/>
      <c r="D58" s="2"/>
      <c r="E58" s="2"/>
    </row>
    <row r="59" ht="15.75" customHeight="1">
      <c r="A59" s="2" t="s">
        <v>44</v>
      </c>
      <c r="B59" s="2">
        <f>E30-D30</f>
        <v>24750</v>
      </c>
      <c r="C59" s="2"/>
      <c r="D59" s="2"/>
      <c r="E59" s="2"/>
    </row>
    <row r="60" ht="15.75" customHeight="1">
      <c r="A60" s="2" t="s">
        <v>45</v>
      </c>
      <c r="B60" s="2">
        <f>E30*20/100</f>
        <v>13450</v>
      </c>
      <c r="C60" s="2"/>
      <c r="D60" s="2"/>
      <c r="E60" s="2"/>
    </row>
    <row r="61" ht="15.75" customHeight="1">
      <c r="A61" s="2" t="s">
        <v>46</v>
      </c>
      <c r="B61" s="2">
        <f>SUM(B59:B60)</f>
        <v>38200</v>
      </c>
      <c r="C61" s="2"/>
      <c r="D61" s="2"/>
      <c r="E61" s="2"/>
    </row>
    <row r="62" ht="15.75" customHeight="1">
      <c r="A62" s="2" t="s">
        <v>47</v>
      </c>
      <c r="B62" s="2">
        <f>SUM(E30,E31:E32,B60)</f>
        <v>85700</v>
      </c>
      <c r="C62" s="2"/>
      <c r="D62" s="2"/>
      <c r="E62" s="2"/>
    </row>
    <row r="63" ht="15.75" customHeight="1">
      <c r="A63" s="2" t="s">
        <v>48</v>
      </c>
      <c r="B63" s="2">
        <f>B62*15/100</f>
        <v>12855</v>
      </c>
      <c r="C63" s="2"/>
      <c r="D63" s="2"/>
      <c r="E63" s="2"/>
    </row>
    <row r="64" ht="15.75" customHeight="1">
      <c r="A64" s="2" t="s">
        <v>49</v>
      </c>
      <c r="B64" s="2">
        <f>SUM(B62:B63)</f>
        <v>98555</v>
      </c>
      <c r="C64" s="2"/>
      <c r="D64" s="2"/>
      <c r="E64" s="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21.0"/>
    <col customWidth="1" min="4" max="4" width="7.63"/>
    <col customWidth="1" min="5" max="5" width="11.5"/>
    <col customWidth="1" min="6" max="26" width="7.63"/>
  </cols>
  <sheetData>
    <row r="1">
      <c r="A1" s="1" t="s">
        <v>51</v>
      </c>
      <c r="B1" s="2"/>
      <c r="C1" s="2"/>
      <c r="D1" s="2"/>
      <c r="E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2" t="s">
        <v>52</v>
      </c>
      <c r="C3" s="2" t="s">
        <v>53</v>
      </c>
      <c r="D3" s="2">
        <f>1250*9+1600</f>
        <v>12850</v>
      </c>
      <c r="E3" s="2">
        <f>D3*30/100+D3</f>
        <v>16705</v>
      </c>
    </row>
    <row r="4">
      <c r="A4" s="2"/>
      <c r="B4" s="2" t="s">
        <v>9</v>
      </c>
      <c r="C4" s="2" t="s">
        <v>10</v>
      </c>
      <c r="D4" s="2">
        <v>2000.0</v>
      </c>
      <c r="E4" s="2">
        <f>D4*70/100+D4</f>
        <v>3400</v>
      </c>
    </row>
    <row r="5">
      <c r="A5" s="2"/>
      <c r="B5" s="2"/>
      <c r="C5" s="2"/>
      <c r="D5" s="2">
        <f t="shared" ref="D5:E5" si="1">SUM(D3:D4)</f>
        <v>14850</v>
      </c>
      <c r="E5" s="2">
        <f t="shared" si="1"/>
        <v>20105</v>
      </c>
    </row>
    <row r="6">
      <c r="A6" s="2"/>
      <c r="B6" s="2"/>
      <c r="C6" s="2"/>
      <c r="D6" s="2"/>
      <c r="E6" s="2"/>
    </row>
    <row r="7">
      <c r="A7" s="2" t="s">
        <v>26</v>
      </c>
      <c r="B7" s="2" t="s">
        <v>27</v>
      </c>
      <c r="C7" s="2" t="s">
        <v>19</v>
      </c>
      <c r="D7" s="4">
        <v>2500.0</v>
      </c>
      <c r="E7" s="2">
        <f>D7*70/100+D7</f>
        <v>4250</v>
      </c>
    </row>
    <row r="8">
      <c r="A8" s="2"/>
      <c r="B8" s="2"/>
      <c r="C8" s="2"/>
      <c r="D8" s="2"/>
      <c r="E8" s="2"/>
    </row>
    <row r="9">
      <c r="A9" s="2" t="s">
        <v>28</v>
      </c>
      <c r="B9" s="2" t="s">
        <v>29</v>
      </c>
      <c r="C9" s="2" t="s">
        <v>54</v>
      </c>
      <c r="D9" s="2">
        <v>5000.0</v>
      </c>
      <c r="E9" s="2">
        <f t="shared" ref="E9:E10" si="2">D9*70/100+D9</f>
        <v>8500</v>
      </c>
    </row>
    <row r="10">
      <c r="A10" s="2"/>
      <c r="B10" s="2" t="s">
        <v>29</v>
      </c>
      <c r="C10" s="2" t="s">
        <v>55</v>
      </c>
      <c r="D10" s="4">
        <v>2500.0</v>
      </c>
      <c r="E10" s="2">
        <f t="shared" si="2"/>
        <v>4250</v>
      </c>
    </row>
    <row r="11">
      <c r="A11" s="2"/>
      <c r="B11" s="2" t="s">
        <v>18</v>
      </c>
      <c r="C11" s="2" t="s">
        <v>19</v>
      </c>
      <c r="D11" s="4">
        <v>2500.0</v>
      </c>
      <c r="E11" s="2"/>
    </row>
    <row r="12">
      <c r="A12" s="2"/>
      <c r="B12" s="2" t="s">
        <v>56</v>
      </c>
      <c r="C12" s="2" t="s">
        <v>57</v>
      </c>
      <c r="D12" s="4">
        <v>2500.0</v>
      </c>
      <c r="E12" s="4"/>
    </row>
    <row r="13">
      <c r="A13" s="2"/>
      <c r="B13" s="2" t="s">
        <v>31</v>
      </c>
      <c r="C13" s="2" t="s">
        <v>32</v>
      </c>
      <c r="D13" s="4">
        <v>2500.0</v>
      </c>
      <c r="E13" s="2">
        <f t="shared" ref="E13:E16" si="3">D13*70/100+D13</f>
        <v>4250</v>
      </c>
    </row>
    <row r="14">
      <c r="A14" s="2"/>
      <c r="B14" s="2" t="s">
        <v>33</v>
      </c>
      <c r="C14" s="2" t="s">
        <v>21</v>
      </c>
      <c r="D14" s="4">
        <v>2500.0</v>
      </c>
      <c r="E14" s="2">
        <f t="shared" si="3"/>
        <v>4250</v>
      </c>
    </row>
    <row r="15">
      <c r="A15" s="2"/>
      <c r="B15" s="2" t="s">
        <v>20</v>
      </c>
      <c r="C15" s="2" t="s">
        <v>34</v>
      </c>
      <c r="D15" s="4">
        <v>2500.0</v>
      </c>
      <c r="E15" s="2">
        <f t="shared" si="3"/>
        <v>4250</v>
      </c>
    </row>
    <row r="16">
      <c r="A16" s="2"/>
      <c r="B16" s="2" t="s">
        <v>35</v>
      </c>
      <c r="C16" s="2" t="s">
        <v>25</v>
      </c>
      <c r="D16" s="4">
        <v>2500.0</v>
      </c>
      <c r="E16" s="2">
        <f t="shared" si="3"/>
        <v>4250</v>
      </c>
    </row>
    <row r="17">
      <c r="A17" s="2"/>
      <c r="B17" s="2"/>
      <c r="C17" s="2"/>
      <c r="D17" s="2">
        <f t="shared" ref="D17:E17" si="4">SUM(D9:D16)</f>
        <v>22500</v>
      </c>
      <c r="E17" s="2">
        <f t="shared" si="4"/>
        <v>29750</v>
      </c>
    </row>
    <row r="18">
      <c r="A18" s="2"/>
      <c r="B18" s="2"/>
      <c r="C18" s="2"/>
      <c r="D18" s="2"/>
      <c r="E18" s="2"/>
    </row>
    <row r="19">
      <c r="A19" s="2" t="s">
        <v>36</v>
      </c>
      <c r="B19" s="2" t="s">
        <v>27</v>
      </c>
      <c r="C19" s="2" t="s">
        <v>10</v>
      </c>
      <c r="D19" s="2">
        <v>10000.0</v>
      </c>
      <c r="E19" s="2">
        <f>D19*20/100+D19</f>
        <v>12000</v>
      </c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 t="s">
        <v>38</v>
      </c>
      <c r="D21" s="2">
        <f>SUM(D3:D4,D7,D17,D19)</f>
        <v>49850</v>
      </c>
      <c r="E21" s="2">
        <f>SUM(E5,E7,E17,E19)</f>
        <v>66105</v>
      </c>
    </row>
    <row r="22" ht="15.75" customHeight="1">
      <c r="A22" s="2"/>
      <c r="B22" s="2"/>
      <c r="C22" s="2" t="s">
        <v>42</v>
      </c>
      <c r="D22" s="2">
        <v>3000.0</v>
      </c>
      <c r="E22" s="2">
        <v>3000.0</v>
      </c>
    </row>
    <row r="23" ht="15.75" customHeight="1">
      <c r="A23" s="2"/>
      <c r="B23" s="2"/>
      <c r="C23" s="2" t="s">
        <v>43</v>
      </c>
      <c r="D23" s="2">
        <v>0.0</v>
      </c>
      <c r="E23" s="2">
        <f>250*8</f>
        <v>2000</v>
      </c>
    </row>
    <row r="24" ht="15.75" customHeight="1">
      <c r="A24" s="2"/>
      <c r="B24" s="2"/>
      <c r="C24" s="2" t="s">
        <v>58</v>
      </c>
      <c r="D24" s="2">
        <f>SUM(D21:D22)</f>
        <v>52850</v>
      </c>
      <c r="E24" s="2">
        <f>SUM(E21:E23)</f>
        <v>71105</v>
      </c>
    </row>
    <row r="25" ht="15.75" customHeight="1">
      <c r="A25" s="2" t="s">
        <v>44</v>
      </c>
      <c r="B25" s="2">
        <f>E24-D24</f>
        <v>18255</v>
      </c>
      <c r="C25" s="2"/>
      <c r="D25" s="2"/>
      <c r="E25" s="2"/>
    </row>
    <row r="26" ht="15.75" customHeight="1">
      <c r="A26" s="2" t="s">
        <v>45</v>
      </c>
      <c r="B26" s="2">
        <f>E21*20/100</f>
        <v>13221</v>
      </c>
      <c r="C26" s="2"/>
      <c r="D26" s="2"/>
      <c r="E26" s="2"/>
    </row>
    <row r="27" ht="15.75" customHeight="1">
      <c r="A27" s="2" t="s">
        <v>59</v>
      </c>
      <c r="B27" s="2">
        <f>B29*10/100</f>
        <v>3147.6</v>
      </c>
      <c r="C27" s="2"/>
      <c r="D27" s="2"/>
      <c r="E27" s="2"/>
    </row>
    <row r="28" ht="15.75" customHeight="1">
      <c r="A28" s="2" t="s">
        <v>60</v>
      </c>
      <c r="B28" s="2">
        <f>B29-B27</f>
        <v>28328.4</v>
      </c>
      <c r="C28" s="2"/>
      <c r="D28" s="2"/>
      <c r="E28" s="2"/>
    </row>
    <row r="29" ht="15.75" customHeight="1">
      <c r="A29" s="2" t="s">
        <v>46</v>
      </c>
      <c r="B29" s="2">
        <f>SUM(B25:B26)</f>
        <v>31476</v>
      </c>
      <c r="C29" s="2"/>
      <c r="D29" s="2"/>
      <c r="E29" s="2"/>
    </row>
    <row r="30" ht="15.75" customHeight="1">
      <c r="A30" s="2" t="s">
        <v>47</v>
      </c>
      <c r="B30" s="2">
        <f>SUM(E24,B26)</f>
        <v>84326</v>
      </c>
      <c r="C30" s="2"/>
      <c r="D30" s="2"/>
      <c r="E30" s="2"/>
    </row>
    <row r="31" ht="15.75" customHeight="1">
      <c r="A31" s="4" t="s">
        <v>48</v>
      </c>
      <c r="B31" s="2">
        <f>B30*15/100</f>
        <v>12648.9</v>
      </c>
      <c r="C31" s="2"/>
      <c r="D31" s="2"/>
      <c r="E31" s="2"/>
    </row>
    <row r="32" ht="15.75" customHeight="1">
      <c r="A32" s="4" t="s">
        <v>49</v>
      </c>
      <c r="B32" s="2">
        <f>SUM(B30:B31)</f>
        <v>96974.9</v>
      </c>
      <c r="C32" s="2"/>
      <c r="D32" s="2"/>
      <c r="E32" s="2"/>
    </row>
    <row r="33" ht="15.75" customHeight="1">
      <c r="A33" s="4" t="s">
        <v>61</v>
      </c>
      <c r="B33" s="5">
        <v>41940.0</v>
      </c>
      <c r="C33" s="2"/>
      <c r="D33" s="2"/>
      <c r="E33" s="2"/>
    </row>
    <row r="34" ht="15.75" customHeight="1">
      <c r="A34" s="6" t="s">
        <v>62</v>
      </c>
      <c r="B34" s="7">
        <f>B30-B33</f>
        <v>42386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2019-03-18T16:09:25Z</dcterms:created>
  <dc:creator>Daniela Marano</dc:creator>
</cp:coreProperties>
</file>