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ized budget- 5 December 20" sheetId="1" r:id="rId4"/>
  </sheets>
  <definedNames/>
  <calcPr/>
  <extLst>
    <ext uri="GoogleSheetsCustomDataVersion1">
      <go:sheetsCustomData xmlns:go="http://customooxmlschemas.google.com/" r:id="rId5" roundtripDataSignature="AMtx7miqufVDducT8UZbOhLGp7lQP+wPCQ=="/>
    </ext>
  </extLst>
</workbook>
</file>

<file path=xl/sharedStrings.xml><?xml version="1.0" encoding="utf-8"?>
<sst xmlns="http://schemas.openxmlformats.org/spreadsheetml/2006/main" count="44" uniqueCount="38">
  <si>
    <t>Budget - 5 December 2021</t>
  </si>
  <si>
    <t xml:space="preserve">Individual Musician Rates </t>
  </si>
  <si>
    <t xml:space="preserve">Set </t>
  </si>
  <si>
    <t xml:space="preserve">Musician Type </t>
  </si>
  <si>
    <t>Musician Name</t>
  </si>
  <si>
    <t xml:space="preserve">Rate </t>
  </si>
  <si>
    <t xml:space="preserve">Quoted Rate </t>
  </si>
  <si>
    <t xml:space="preserve">Nathan Ambach </t>
  </si>
  <si>
    <t xml:space="preserve">Pre-drinks </t>
  </si>
  <si>
    <t xml:space="preserve">DJ </t>
  </si>
  <si>
    <t xml:space="preserve">Rus Nerwich </t>
  </si>
  <si>
    <t xml:space="preserve">Nicholas Williams </t>
  </si>
  <si>
    <t xml:space="preserve">Jonno Sweetman </t>
  </si>
  <si>
    <t xml:space="preserve">Kyle Petersen </t>
  </si>
  <si>
    <t xml:space="preserve">Lunch: Jazz quartet (Option 4) </t>
  </si>
  <si>
    <t>Sax</t>
  </si>
  <si>
    <t xml:space="preserve">Dani </t>
  </si>
  <si>
    <t xml:space="preserve">2 x 1 hour sets </t>
  </si>
  <si>
    <t xml:space="preserve">Vocals </t>
  </si>
  <si>
    <t>Keys</t>
  </si>
  <si>
    <t xml:space="preserve">Blake Hellaby </t>
  </si>
  <si>
    <t xml:space="preserve">Bass </t>
  </si>
  <si>
    <t>Angelo Syster</t>
  </si>
  <si>
    <t xml:space="preserve">Dani to pay </t>
  </si>
  <si>
    <t xml:space="preserve">Drums </t>
  </si>
  <si>
    <t xml:space="preserve">Kevin Gibson </t>
  </si>
  <si>
    <t xml:space="preserve">Party </t>
  </si>
  <si>
    <t xml:space="preserve">Total musician expense </t>
  </si>
  <si>
    <t xml:space="preserve">Coordination </t>
  </si>
  <si>
    <t xml:space="preserve">Total expense </t>
  </si>
  <si>
    <t xml:space="preserve">Built in commission </t>
  </si>
  <si>
    <t>Booking fee - 20%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</si>
  <si>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</si>
  <si>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</si>
  <si>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</si>
  <si>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</si>
  <si>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Deposit received </t>
  </si>
  <si>
    <t xml:space="preserve">Balance received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</si>
</sst>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color theme="1"/>
      <name val="Calibri"/>
    </font>
    <font>
      <b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12.38"/>
    <col customWidth="1" min="3" max="3" width="20.75"/>
    <col customWidth="1" min="4" max="4" width="7.63"/>
    <col customWidth="1" min="5" max="5" width="11.0"/>
    <col customWidth="1" min="6" max="6" width="15.5"/>
    <col customWidth="1" min="7" max="7" width="21.25"/>
    <col customWidth="1" min="8" max="26" width="7.63"/>
  </cols>
  <sheetData>
    <row r="1">
      <c r="A1" s="1" t="s">
        <v>0</v>
      </c>
      <c r="G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7</v>
      </c>
      <c r="H2" s="1">
        <f>SUM(6500,D15)</f>
        <v>15000</v>
      </c>
    </row>
    <row r="3">
      <c r="A3" s="2" t="s">
        <v>8</v>
      </c>
      <c r="B3" s="2" t="s">
        <v>9</v>
      </c>
      <c r="C3" s="2" t="s">
        <v>10</v>
      </c>
      <c r="D3" s="2">
        <v>5000.0</v>
      </c>
      <c r="E3" s="2">
        <v>5250.0</v>
      </c>
      <c r="G3" s="1" t="s">
        <v>11</v>
      </c>
      <c r="H3" s="2">
        <v>3500.0</v>
      </c>
    </row>
    <row r="4">
      <c r="D4" s="3">
        <f t="shared" ref="D4:E4" si="1">SUM(D3)</f>
        <v>5000</v>
      </c>
      <c r="E4" s="3">
        <f t="shared" si="1"/>
        <v>5250</v>
      </c>
      <c r="G4" s="2" t="s">
        <v>12</v>
      </c>
      <c r="H4" s="2">
        <v>3500.0</v>
      </c>
    </row>
    <row r="5">
      <c r="A5" s="2"/>
      <c r="B5" s="2"/>
      <c r="C5" s="2"/>
      <c r="D5" s="2"/>
      <c r="E5" s="2"/>
      <c r="G5" s="2" t="s">
        <v>7</v>
      </c>
      <c r="H5" s="2">
        <v>3500.0</v>
      </c>
    </row>
    <row r="6">
      <c r="G6" s="2" t="s">
        <v>13</v>
      </c>
      <c r="H6" s="2">
        <v>3500.0</v>
      </c>
    </row>
    <row r="7">
      <c r="A7" s="1" t="s">
        <v>14</v>
      </c>
      <c r="B7" s="2" t="s">
        <v>15</v>
      </c>
      <c r="C7" s="2" t="s">
        <v>10</v>
      </c>
      <c r="D7" s="2">
        <v>4000.0</v>
      </c>
      <c r="E7" s="2">
        <v>4500.0</v>
      </c>
      <c r="G7" s="2" t="s">
        <v>16</v>
      </c>
      <c r="H7" s="1">
        <f>SUM(B23,D17)</f>
        <v>5640</v>
      </c>
    </row>
    <row r="8">
      <c r="A8" s="2" t="s">
        <v>17</v>
      </c>
      <c r="B8" s="1" t="s">
        <v>18</v>
      </c>
      <c r="C8" s="1" t="s">
        <v>7</v>
      </c>
      <c r="D8" s="2">
        <v>6500.0</v>
      </c>
      <c r="E8" s="2">
        <v>7500.0</v>
      </c>
      <c r="H8" s="1">
        <f>SUM(H2:H7)</f>
        <v>34640</v>
      </c>
    </row>
    <row r="9">
      <c r="B9" s="1" t="s">
        <v>19</v>
      </c>
      <c r="C9" s="2" t="s">
        <v>20</v>
      </c>
      <c r="D9" s="2">
        <v>3500.0</v>
      </c>
      <c r="E9" s="2">
        <v>4500.0</v>
      </c>
      <c r="H9" s="1">
        <f>B27-H8</f>
        <v>3385</v>
      </c>
    </row>
    <row r="10">
      <c r="B10" s="1" t="s">
        <v>21</v>
      </c>
      <c r="C10" s="1" t="s">
        <v>11</v>
      </c>
      <c r="D10" s="2">
        <v>3500.0</v>
      </c>
      <c r="E10" s="2">
        <v>4500.0</v>
      </c>
      <c r="G10" s="2" t="s">
        <v>22</v>
      </c>
      <c r="H10" s="2">
        <v>3500.0</v>
      </c>
      <c r="I10" s="2" t="s">
        <v>23</v>
      </c>
    </row>
    <row r="11">
      <c r="B11" s="1" t="s">
        <v>24</v>
      </c>
      <c r="C11" s="1" t="s">
        <v>25</v>
      </c>
      <c r="D11" s="2">
        <v>3500.0</v>
      </c>
      <c r="E11" s="2">
        <v>4500.0</v>
      </c>
    </row>
    <row r="12">
      <c r="D12" s="4">
        <f t="shared" ref="D12:E12" si="2">SUM(D7:D11)</f>
        <v>21000</v>
      </c>
      <c r="E12" s="4">
        <f t="shared" si="2"/>
        <v>25500</v>
      </c>
    </row>
    <row r="13" ht="15.75" customHeight="1">
      <c r="A13" s="2"/>
    </row>
    <row r="14" ht="15.75" customHeight="1"/>
    <row r="15" ht="15.75" customHeight="1">
      <c r="A15" s="1" t="s">
        <v>26</v>
      </c>
      <c r="B15" s="1" t="s">
        <v>9</v>
      </c>
      <c r="C15" s="1" t="s">
        <v>7</v>
      </c>
      <c r="D15" s="5">
        <v>8500.0</v>
      </c>
      <c r="E15" s="5">
        <v>9000.0</v>
      </c>
    </row>
    <row r="16" ht="15.75" customHeight="1">
      <c r="C16" s="1" t="s">
        <v>27</v>
      </c>
      <c r="D16" s="1">
        <f>SUM(D3,D7,D8,D9,D10,D11,D15)</f>
        <v>34500</v>
      </c>
      <c r="E16" s="1">
        <f>SUM(E3,E7:E11,E15)</f>
        <v>39750</v>
      </c>
    </row>
    <row r="17" ht="15.75" customHeight="1">
      <c r="C17" s="1" t="s">
        <v>28</v>
      </c>
      <c r="D17" s="1">
        <v>3000.0</v>
      </c>
      <c r="E17" s="1">
        <v>3000.0</v>
      </c>
    </row>
    <row r="18" ht="15.75" customHeight="1">
      <c r="C18" s="2" t="s">
        <v>29</v>
      </c>
      <c r="D18" s="1">
        <f t="shared" ref="D18:E18" si="3">SUM(D16:D17)</f>
        <v>37500</v>
      </c>
      <c r="E18" s="1">
        <f t="shared" si="3"/>
        <v>42750</v>
      </c>
    </row>
    <row r="19" ht="15.75" customHeight="1"/>
    <row r="20" ht="15.75" customHeight="1">
      <c r="A20" s="1" t="s">
        <v>30</v>
      </c>
      <c r="B20" s="1">
        <f>E18-D18</f>
        <v>5250</v>
      </c>
    </row>
    <row r="21" ht="15.75" customHeight="1">
      <c r="A21" s="1" t="s">
        <v>31</v>
      </c>
      <c r="B21" s="1">
        <f>E16*20/100</f>
        <v>7950</v>
      </c>
    </row>
    <row r="22" ht="15.75" customHeight="1">
      <c r="A22" s="1" t="s">
        <v>32</v>
      </c>
      <c r="B22" s="1">
        <f>SUM(B20:B21)</f>
        <v>13200</v>
      </c>
    </row>
    <row r="23" ht="15.75" customHeight="1">
      <c r="A23" s="1" t="s">
        <v>33</v>
      </c>
      <c r="B23" s="1">
        <f>B22*20/100</f>
        <v>2640</v>
      </c>
    </row>
    <row r="24" ht="15.75" customHeight="1">
      <c r="A24" s="1" t="s">
        <v>34</v>
      </c>
      <c r="B24" s="1">
        <f>B22-B23</f>
        <v>10560</v>
      </c>
    </row>
    <row r="25" ht="15.75" customHeight="1">
      <c r="A25" s="1" t="s">
        <v>35</v>
      </c>
      <c r="B25" s="1">
        <f>SUM(E18,B21)</f>
        <v>50700</v>
      </c>
    </row>
    <row r="26" ht="15.75" customHeight="1">
      <c r="A26" s="2" t="s">
        <v>36</v>
      </c>
      <c r="B26" s="1">
        <f>B25*0.25</f>
        <v>12675</v>
      </c>
    </row>
    <row r="27" ht="15.75" customHeight="1">
      <c r="A27" s="2" t="s">
        <v>37</v>
      </c>
      <c r="B27" s="1">
        <f>B25-B26</f>
        <v>38025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2020-05-18T12:32:46Z</dcterms:created>
  <dc:creator>Daniela Marano</dc:creator>
</cp:coreProperties>
</file>