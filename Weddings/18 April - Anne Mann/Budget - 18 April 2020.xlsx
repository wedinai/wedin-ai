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a Marano\Documents\TON\Weddings\18 April - Anne Mann\"/>
    </mc:Choice>
  </mc:AlternateContent>
  <bookViews>
    <workbookView xWindow="0" yWindow="0" windowWidth="20490" windowHeight="71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2" l="1"/>
  <c r="D32" i="2"/>
  <c r="E31" i="2"/>
  <c r="D29" i="2"/>
  <c r="E28" i="2"/>
  <c r="E27" i="2"/>
  <c r="E26" i="2"/>
  <c r="E25" i="2"/>
  <c r="E24" i="2"/>
  <c r="E23" i="2"/>
  <c r="E22" i="2"/>
  <c r="E21" i="2"/>
  <c r="E17" i="2"/>
  <c r="D14" i="2"/>
  <c r="E14" i="2" s="1"/>
  <c r="D11" i="2"/>
  <c r="E11" i="2" s="1"/>
  <c r="E10" i="2"/>
  <c r="D10" i="2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19" i="1"/>
  <c r="E23" i="1" s="1"/>
  <c r="E20" i="1"/>
  <c r="E21" i="1"/>
  <c r="E22" i="1"/>
  <c r="D23" i="1"/>
  <c r="D12" i="2" l="1"/>
  <c r="E29" i="2"/>
  <c r="D13" i="2"/>
  <c r="D15" i="2" s="1"/>
  <c r="D34" i="2" s="1"/>
  <c r="E12" i="2"/>
  <c r="E15" i="2" s="1"/>
  <c r="E3" i="2"/>
  <c r="D36" i="1"/>
  <c r="D38" i="1" s="1"/>
  <c r="E33" i="1"/>
  <c r="E15" i="1"/>
  <c r="D15" i="1"/>
  <c r="D33" i="1"/>
  <c r="E35" i="1"/>
  <c r="E36" i="1"/>
  <c r="E25" i="1"/>
  <c r="E26" i="1"/>
  <c r="E27" i="1"/>
  <c r="E28" i="1"/>
  <c r="E29" i="1"/>
  <c r="E30" i="1"/>
  <c r="E31" i="1"/>
  <c r="E32" i="1"/>
  <c r="E17" i="1"/>
  <c r="E4" i="1"/>
  <c r="E5" i="1"/>
  <c r="E6" i="1"/>
  <c r="E7" i="1"/>
  <c r="E8" i="1"/>
  <c r="E9" i="1"/>
  <c r="E10" i="1"/>
  <c r="E11" i="1"/>
  <c r="E12" i="1"/>
  <c r="E14" i="1"/>
  <c r="E3" i="1"/>
  <c r="D13" i="1"/>
  <c r="D12" i="1"/>
  <c r="D4" i="1"/>
  <c r="D5" i="1"/>
  <c r="D6" i="1"/>
  <c r="D7" i="1"/>
  <c r="D8" i="1"/>
  <c r="D9" i="1"/>
  <c r="D10" i="1"/>
  <c r="D11" i="1"/>
  <c r="D14" i="1"/>
  <c r="D3" i="1"/>
  <c r="E34" i="2" l="1"/>
  <c r="B37" i="2"/>
  <c r="E38" i="1"/>
  <c r="B41" i="1"/>
  <c r="B41" i="2" l="1"/>
  <c r="B36" i="2"/>
  <c r="B38" i="2" s="1"/>
  <c r="B40" i="1"/>
  <c r="B42" i="1" s="1"/>
  <c r="B45" i="1"/>
  <c r="B39" i="2" l="1"/>
  <c r="B40" i="2"/>
  <c r="B42" i="2"/>
  <c r="B43" i="2" s="1"/>
  <c r="B46" i="1"/>
  <c r="B47" i="1" s="1"/>
  <c r="B43" i="1"/>
  <c r="B44" i="1" s="1"/>
</calcChain>
</file>

<file path=xl/sharedStrings.xml><?xml version="1.0" encoding="utf-8"?>
<sst xmlns="http://schemas.openxmlformats.org/spreadsheetml/2006/main" count="138" uniqueCount="52">
  <si>
    <t xml:space="preserve">Budget - 18 April 2020 </t>
  </si>
  <si>
    <t xml:space="preserve">Set </t>
  </si>
  <si>
    <t xml:space="preserve">Musician Type </t>
  </si>
  <si>
    <t xml:space="preserve">Musician Name </t>
  </si>
  <si>
    <t>Rate</t>
  </si>
  <si>
    <t xml:space="preserve">Quoted Rate </t>
  </si>
  <si>
    <t xml:space="preserve">Flute </t>
  </si>
  <si>
    <t xml:space="preserve">Timpini </t>
  </si>
  <si>
    <t xml:space="preserve">Drums </t>
  </si>
  <si>
    <t xml:space="preserve">Violin </t>
  </si>
  <si>
    <t xml:space="preserve">Cello </t>
  </si>
  <si>
    <t xml:space="preserve">Bagpipe </t>
  </si>
  <si>
    <t xml:space="preserve">POPS </t>
  </si>
  <si>
    <t>Viola</t>
  </si>
  <si>
    <t>Double Bass</t>
  </si>
  <si>
    <t xml:space="preserve">TBC </t>
  </si>
  <si>
    <t xml:space="preserve">Admin fee </t>
  </si>
  <si>
    <t xml:space="preserve">Subtotal </t>
  </si>
  <si>
    <t xml:space="preserve">Pre-drinks </t>
  </si>
  <si>
    <t xml:space="preserve">DJ + Saxophone </t>
  </si>
  <si>
    <t xml:space="preserve">Rus Nerwich </t>
  </si>
  <si>
    <t xml:space="preserve">Dinner </t>
  </si>
  <si>
    <t xml:space="preserve">Saxophone </t>
  </si>
  <si>
    <t xml:space="preserve">Keys </t>
  </si>
  <si>
    <t xml:space="preserve">Bass </t>
  </si>
  <si>
    <t xml:space="preserve">Andrew Ford </t>
  </si>
  <si>
    <t xml:space="preserve">Nicholas Williams </t>
  </si>
  <si>
    <t xml:space="preserve">Kevin Gibson </t>
  </si>
  <si>
    <t>Dance</t>
  </si>
  <si>
    <t xml:space="preserve">Vocals </t>
  </si>
  <si>
    <t xml:space="preserve">Trumpet </t>
  </si>
  <si>
    <t xml:space="preserve">Guitar </t>
  </si>
  <si>
    <t>Keeno Lee Hector</t>
  </si>
  <si>
    <t xml:space="preserve">Francesca Biancoli </t>
  </si>
  <si>
    <t xml:space="preserve">Angelo Syster </t>
  </si>
  <si>
    <t xml:space="preserve">Lee Thomson </t>
  </si>
  <si>
    <t xml:space="preserve">Party </t>
  </si>
  <si>
    <t xml:space="preserve">DJ </t>
  </si>
  <si>
    <t xml:space="preserve">Total musician expense </t>
  </si>
  <si>
    <t xml:space="preserve">Coordination </t>
  </si>
  <si>
    <t xml:space="preserve">Total expense </t>
  </si>
  <si>
    <t xml:space="preserve">Built in commission </t>
  </si>
  <si>
    <t xml:space="preserve">Booking fee - 20% 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</si>
  <si>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</si>
  <si>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</si>
  <si>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</si>
  <si>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</si>
  <si>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VAT </t>
  </si>
  <si>
    <t xml:space="preserve">Total including VAT </t>
  </si>
  <si>
    <t>Piccolo / F. Horn</t>
  </si>
  <si>
    <t>N/A</t>
  </si>
  <si>
    <t>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</si>
</sst>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opLeftCell="A6" workbookViewId="0">
      <selection activeCell="H34" sqref="H34"/>
    </sheetView>
  </sheetViews>
  <sheetFormatPr defaultRowHeight="15" x14ac:dyDescent="0.25"/>
  <cols>
    <col min="1" max="1" width="20.7109375" bestFit="1" customWidth="1"/>
    <col min="2" max="2" width="15.28515625" bestFit="1" customWidth="1"/>
    <col min="3" max="3" width="22.5703125" bestFit="1" customWidth="1"/>
    <col min="5" max="5" width="12.57031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/>
      <c r="B3" s="2" t="s">
        <v>49</v>
      </c>
      <c r="C3" s="1" t="s">
        <v>12</v>
      </c>
      <c r="D3" s="1">
        <f>3000</f>
        <v>3000</v>
      </c>
      <c r="E3" s="1">
        <f>D3*50/100+D3</f>
        <v>4500</v>
      </c>
    </row>
    <row r="4" spans="1:5" x14ac:dyDescent="0.25">
      <c r="A4" s="1"/>
      <c r="B4" s="1" t="s">
        <v>6</v>
      </c>
      <c r="C4" s="1" t="s">
        <v>12</v>
      </c>
      <c r="D4" s="1">
        <f>3000</f>
        <v>3000</v>
      </c>
      <c r="E4" s="1">
        <f t="shared" ref="E4:E32" si="0">D4*50/100+D4</f>
        <v>4500</v>
      </c>
    </row>
    <row r="5" spans="1:5" x14ac:dyDescent="0.25">
      <c r="A5" s="1"/>
      <c r="B5" s="1" t="s">
        <v>7</v>
      </c>
      <c r="C5" s="1" t="s">
        <v>12</v>
      </c>
      <c r="D5" s="1">
        <f>3000</f>
        <v>3000</v>
      </c>
      <c r="E5" s="1">
        <f t="shared" si="0"/>
        <v>4500</v>
      </c>
    </row>
    <row r="6" spans="1:5" x14ac:dyDescent="0.25">
      <c r="A6" s="1"/>
      <c r="B6" s="1" t="s">
        <v>8</v>
      </c>
      <c r="C6" s="1" t="s">
        <v>12</v>
      </c>
      <c r="D6" s="1">
        <f>3000</f>
        <v>3000</v>
      </c>
      <c r="E6" s="1">
        <f t="shared" si="0"/>
        <v>4500</v>
      </c>
    </row>
    <row r="7" spans="1:5" x14ac:dyDescent="0.25">
      <c r="A7" s="1"/>
      <c r="B7" s="1" t="s">
        <v>9</v>
      </c>
      <c r="C7" s="1" t="s">
        <v>12</v>
      </c>
      <c r="D7" s="1">
        <f>3000</f>
        <v>3000</v>
      </c>
      <c r="E7" s="1">
        <f t="shared" si="0"/>
        <v>4500</v>
      </c>
    </row>
    <row r="8" spans="1:5" x14ac:dyDescent="0.25">
      <c r="A8" s="1"/>
      <c r="B8" s="1" t="s">
        <v>9</v>
      </c>
      <c r="C8" s="1" t="s">
        <v>12</v>
      </c>
      <c r="D8" s="1">
        <f>3000</f>
        <v>3000</v>
      </c>
      <c r="E8" s="1">
        <f t="shared" si="0"/>
        <v>4500</v>
      </c>
    </row>
    <row r="9" spans="1:5" x14ac:dyDescent="0.25">
      <c r="A9" s="1"/>
      <c r="B9" s="1" t="s">
        <v>13</v>
      </c>
      <c r="C9" s="1" t="s">
        <v>12</v>
      </c>
      <c r="D9" s="1">
        <f>3000</f>
        <v>3000</v>
      </c>
      <c r="E9" s="1">
        <f t="shared" si="0"/>
        <v>4500</v>
      </c>
    </row>
    <row r="10" spans="1:5" x14ac:dyDescent="0.25">
      <c r="A10" s="1"/>
      <c r="B10" s="1" t="s">
        <v>10</v>
      </c>
      <c r="C10" s="1" t="s">
        <v>12</v>
      </c>
      <c r="D10" s="1">
        <f>3000</f>
        <v>3000</v>
      </c>
      <c r="E10" s="1">
        <f t="shared" si="0"/>
        <v>4500</v>
      </c>
    </row>
    <row r="11" spans="1:5" x14ac:dyDescent="0.25">
      <c r="A11" s="1"/>
      <c r="B11" s="1" t="s">
        <v>14</v>
      </c>
      <c r="C11" s="1" t="s">
        <v>12</v>
      </c>
      <c r="D11" s="1">
        <f>3000</f>
        <v>3000</v>
      </c>
      <c r="E11" s="1">
        <f t="shared" si="0"/>
        <v>4500</v>
      </c>
    </row>
    <row r="12" spans="1:5" x14ac:dyDescent="0.25">
      <c r="A12" s="1"/>
      <c r="B12" s="1"/>
      <c r="C12" s="1" t="s">
        <v>17</v>
      </c>
      <c r="D12" s="1">
        <f>SUM(D3:D11)</f>
        <v>27000</v>
      </c>
      <c r="E12" s="1">
        <f t="shared" si="0"/>
        <v>40500</v>
      </c>
    </row>
    <row r="13" spans="1:5" x14ac:dyDescent="0.25">
      <c r="A13" s="1"/>
      <c r="B13" s="1"/>
      <c r="C13" s="1" t="s">
        <v>16</v>
      </c>
      <c r="D13" s="1">
        <f>D12*15/100</f>
        <v>4050</v>
      </c>
      <c r="E13" s="1"/>
    </row>
    <row r="14" spans="1:5" x14ac:dyDescent="0.25">
      <c r="A14" s="1"/>
      <c r="B14" s="1" t="s">
        <v>11</v>
      </c>
      <c r="C14" s="1" t="s">
        <v>15</v>
      </c>
      <c r="D14" s="1">
        <f>3000</f>
        <v>3000</v>
      </c>
      <c r="E14" s="1">
        <f t="shared" si="0"/>
        <v>4500</v>
      </c>
    </row>
    <row r="15" spans="1:5" x14ac:dyDescent="0.25">
      <c r="A15" s="1"/>
      <c r="B15" s="1"/>
      <c r="C15" s="1"/>
      <c r="D15" s="1">
        <f>SUM(D12:D14)</f>
        <v>34050</v>
      </c>
      <c r="E15" s="1">
        <f>SUM(E12:E14)</f>
        <v>45000</v>
      </c>
    </row>
    <row r="16" spans="1:5" x14ac:dyDescent="0.25">
      <c r="A16" s="1"/>
      <c r="B16" s="1"/>
      <c r="C16" s="1"/>
      <c r="D16" s="1"/>
      <c r="E16" s="1"/>
    </row>
    <row r="17" spans="1:5" x14ac:dyDescent="0.25">
      <c r="A17" s="1" t="s">
        <v>18</v>
      </c>
      <c r="B17" s="1" t="s">
        <v>19</v>
      </c>
      <c r="C17" s="1" t="s">
        <v>20</v>
      </c>
      <c r="D17" s="1">
        <v>5000</v>
      </c>
      <c r="E17" s="1">
        <f t="shared" si="0"/>
        <v>7500</v>
      </c>
    </row>
    <row r="18" spans="1:5" x14ac:dyDescent="0.25">
      <c r="A18" s="1"/>
      <c r="B18" s="1"/>
      <c r="C18" s="1"/>
      <c r="D18" s="1"/>
      <c r="E18" s="1"/>
    </row>
    <row r="19" spans="1:5" x14ac:dyDescent="0.25">
      <c r="A19" s="1" t="s">
        <v>21</v>
      </c>
      <c r="B19" s="1" t="s">
        <v>22</v>
      </c>
      <c r="C19" s="1" t="s">
        <v>20</v>
      </c>
      <c r="D19" s="1">
        <v>2000</v>
      </c>
      <c r="E19" s="1">
        <f t="shared" si="0"/>
        <v>3000</v>
      </c>
    </row>
    <row r="20" spans="1:5" x14ac:dyDescent="0.25">
      <c r="A20" s="1"/>
      <c r="B20" s="1" t="s">
        <v>23</v>
      </c>
      <c r="C20" s="1" t="s">
        <v>25</v>
      </c>
      <c r="D20" s="1">
        <v>2000</v>
      </c>
      <c r="E20" s="1">
        <f t="shared" si="0"/>
        <v>3000</v>
      </c>
    </row>
    <row r="21" spans="1:5" x14ac:dyDescent="0.25">
      <c r="A21" s="1"/>
      <c r="B21" s="1" t="s">
        <v>24</v>
      </c>
      <c r="C21" s="1" t="s">
        <v>26</v>
      </c>
      <c r="D21" s="1">
        <v>2000</v>
      </c>
      <c r="E21" s="1">
        <f t="shared" si="0"/>
        <v>3000</v>
      </c>
    </row>
    <row r="22" spans="1:5" x14ac:dyDescent="0.25">
      <c r="A22" s="1"/>
      <c r="B22" s="1" t="s">
        <v>8</v>
      </c>
      <c r="C22" s="1" t="s">
        <v>27</v>
      </c>
      <c r="D22" s="1">
        <v>2000</v>
      </c>
      <c r="E22" s="1">
        <f t="shared" si="0"/>
        <v>3000</v>
      </c>
    </row>
    <row r="23" spans="1:5" x14ac:dyDescent="0.25">
      <c r="A23" s="1"/>
      <c r="B23" s="1"/>
      <c r="C23" s="1"/>
      <c r="D23" s="1">
        <f>SUM(D19:D22)</f>
        <v>8000</v>
      </c>
      <c r="E23" s="1">
        <f>SUM(E19:E22)</f>
        <v>12000</v>
      </c>
    </row>
    <row r="24" spans="1:5" x14ac:dyDescent="0.25">
      <c r="A24" s="1"/>
      <c r="B24" s="1"/>
      <c r="C24" s="1"/>
      <c r="D24" s="1"/>
      <c r="E24" s="1"/>
    </row>
    <row r="25" spans="1:5" x14ac:dyDescent="0.25">
      <c r="A25" s="1" t="s">
        <v>28</v>
      </c>
      <c r="B25" s="1" t="s">
        <v>29</v>
      </c>
      <c r="C25" s="1" t="s">
        <v>32</v>
      </c>
      <c r="D25" s="1">
        <v>3000</v>
      </c>
      <c r="E25" s="1">
        <f t="shared" si="0"/>
        <v>4500</v>
      </c>
    </row>
    <row r="26" spans="1:5" x14ac:dyDescent="0.25">
      <c r="A26" s="1"/>
      <c r="B26" s="1" t="s">
        <v>29</v>
      </c>
      <c r="C26" s="1" t="s">
        <v>33</v>
      </c>
      <c r="D26" s="1">
        <v>3000</v>
      </c>
      <c r="E26" s="1">
        <f t="shared" si="0"/>
        <v>4500</v>
      </c>
    </row>
    <row r="27" spans="1:5" x14ac:dyDescent="0.25">
      <c r="A27" s="1"/>
      <c r="B27" s="1" t="s">
        <v>31</v>
      </c>
      <c r="C27" s="1" t="s">
        <v>34</v>
      </c>
      <c r="D27" s="1">
        <v>3000</v>
      </c>
      <c r="E27" s="1">
        <f t="shared" si="0"/>
        <v>4500</v>
      </c>
    </row>
    <row r="28" spans="1:5" x14ac:dyDescent="0.25">
      <c r="A28" s="1"/>
      <c r="B28" s="1" t="s">
        <v>30</v>
      </c>
      <c r="C28" s="1" t="s">
        <v>35</v>
      </c>
      <c r="D28" s="1">
        <v>3000</v>
      </c>
      <c r="E28" s="1">
        <f t="shared" si="0"/>
        <v>4500</v>
      </c>
    </row>
    <row r="29" spans="1:5" x14ac:dyDescent="0.25">
      <c r="A29" s="1"/>
      <c r="B29" s="1" t="s">
        <v>22</v>
      </c>
      <c r="C29" s="1" t="s">
        <v>20</v>
      </c>
      <c r="D29" s="1">
        <v>2000</v>
      </c>
      <c r="E29" s="1">
        <f t="shared" si="0"/>
        <v>3000</v>
      </c>
    </row>
    <row r="30" spans="1:5" x14ac:dyDescent="0.25">
      <c r="A30" s="1"/>
      <c r="B30" s="1" t="s">
        <v>23</v>
      </c>
      <c r="C30" s="1" t="s">
        <v>25</v>
      </c>
      <c r="D30" s="1">
        <v>2000</v>
      </c>
      <c r="E30" s="1">
        <f t="shared" si="0"/>
        <v>3000</v>
      </c>
    </row>
    <row r="31" spans="1:5" x14ac:dyDescent="0.25">
      <c r="A31" s="1"/>
      <c r="B31" s="1" t="s">
        <v>24</v>
      </c>
      <c r="C31" s="1" t="s">
        <v>26</v>
      </c>
      <c r="D31" s="1">
        <v>2000</v>
      </c>
      <c r="E31" s="1">
        <f t="shared" si="0"/>
        <v>3000</v>
      </c>
    </row>
    <row r="32" spans="1:5" x14ac:dyDescent="0.25">
      <c r="A32" s="1"/>
      <c r="B32" s="1" t="s">
        <v>8</v>
      </c>
      <c r="C32" s="1" t="s">
        <v>27</v>
      </c>
      <c r="D32" s="1">
        <v>2000</v>
      </c>
      <c r="E32" s="1">
        <f t="shared" si="0"/>
        <v>3000</v>
      </c>
    </row>
    <row r="33" spans="1:5" x14ac:dyDescent="0.25">
      <c r="A33" s="1"/>
      <c r="B33" s="1"/>
      <c r="C33" s="1"/>
      <c r="D33" s="1">
        <f>SUM(D25:D32)</f>
        <v>20000</v>
      </c>
      <c r="E33" s="1">
        <f>SUM(E25:E32)</f>
        <v>30000</v>
      </c>
    </row>
    <row r="34" spans="1:5" x14ac:dyDescent="0.25">
      <c r="A34" s="1"/>
      <c r="B34" s="1"/>
      <c r="C34" s="1"/>
      <c r="D34" s="1"/>
      <c r="E34" s="1"/>
    </row>
    <row r="35" spans="1:5" x14ac:dyDescent="0.25">
      <c r="A35" s="1" t="s">
        <v>36</v>
      </c>
      <c r="B35" s="1" t="s">
        <v>37</v>
      </c>
      <c r="C35" s="1" t="s">
        <v>15</v>
      </c>
      <c r="D35" s="1">
        <v>10000</v>
      </c>
      <c r="E35" s="1">
        <f>D35*20/100+D35</f>
        <v>12000</v>
      </c>
    </row>
    <row r="36" spans="1:5" x14ac:dyDescent="0.25">
      <c r="A36" s="1"/>
      <c r="B36" s="1"/>
      <c r="C36" s="1" t="s">
        <v>38</v>
      </c>
      <c r="D36" s="1">
        <f>SUM(D15,D17,D23,D33,D35)</f>
        <v>77050</v>
      </c>
      <c r="E36" s="1">
        <f>SUM(E15,E17,E23,E33,E35)</f>
        <v>106500</v>
      </c>
    </row>
    <row r="37" spans="1:5" x14ac:dyDescent="0.25">
      <c r="A37" s="1"/>
      <c r="B37" s="1"/>
      <c r="C37" s="1" t="s">
        <v>39</v>
      </c>
      <c r="D37" s="1">
        <v>3000</v>
      </c>
      <c r="E37" s="1">
        <v>3000</v>
      </c>
    </row>
    <row r="38" spans="1:5" x14ac:dyDescent="0.25">
      <c r="A38" s="1"/>
      <c r="B38" s="1"/>
      <c r="C38" s="1" t="s">
        <v>40</v>
      </c>
      <c r="D38" s="1">
        <f>SUM(D36:D37)</f>
        <v>80050</v>
      </c>
      <c r="E38" s="1">
        <f>SUM(E36:E37)</f>
        <v>109500</v>
      </c>
    </row>
    <row r="39" spans="1:5" x14ac:dyDescent="0.25">
      <c r="A39" s="1"/>
      <c r="B39" s="1"/>
      <c r="C39" s="1"/>
      <c r="D39" s="1"/>
      <c r="E39" s="1"/>
    </row>
    <row r="40" spans="1:5" x14ac:dyDescent="0.25">
      <c r="A40" s="1" t="s">
        <v>41</v>
      </c>
      <c r="B40" s="1">
        <f>E38-D38</f>
        <v>29450</v>
      </c>
      <c r="C40" s="1"/>
      <c r="D40" s="1"/>
      <c r="E40" s="1"/>
    </row>
    <row r="41" spans="1:5" x14ac:dyDescent="0.25">
      <c r="A41" s="1" t="s">
        <v>42</v>
      </c>
      <c r="B41" s="1">
        <f>E36*20/100</f>
        <v>21300</v>
      </c>
      <c r="C41" s="1"/>
      <c r="D41" s="1"/>
      <c r="E41" s="1"/>
    </row>
    <row r="42" spans="1:5" x14ac:dyDescent="0.25">
      <c r="A42" s="1" t="s">
        <v>43</v>
      </c>
      <c r="B42" s="1">
        <f>SUM(B40:B41)</f>
        <v>50750</v>
      </c>
      <c r="C42" s="1"/>
      <c r="D42" s="1"/>
      <c r="E42" s="1"/>
    </row>
    <row r="43" spans="1:5" x14ac:dyDescent="0.25">
      <c r="A43" s="1" t="s">
        <v>44</v>
      </c>
      <c r="B43" s="1">
        <f>B42*20/100</f>
        <v>10150</v>
      </c>
      <c r="C43" s="1"/>
      <c r="D43" s="1"/>
      <c r="E43" s="1"/>
    </row>
    <row r="44" spans="1:5" x14ac:dyDescent="0.25">
      <c r="A44" s="1" t="s">
        <v>45</v>
      </c>
      <c r="B44" s="1">
        <f>B42-B43</f>
        <v>40600</v>
      </c>
      <c r="C44" s="1"/>
      <c r="D44" s="1"/>
      <c r="E44" s="1"/>
    </row>
    <row r="45" spans="1:5" x14ac:dyDescent="0.25">
      <c r="A45" s="1" t="s">
        <v>46</v>
      </c>
      <c r="B45" s="1">
        <f>SUM(E38,B41)</f>
        <v>130800</v>
      </c>
      <c r="C45" s="1"/>
      <c r="D45" s="1"/>
      <c r="E45" s="1"/>
    </row>
    <row r="46" spans="1:5" x14ac:dyDescent="0.25">
      <c r="A46" s="1" t="s">
        <v>47</v>
      </c>
      <c r="B46" s="1">
        <f>B45*15/100</f>
        <v>19620</v>
      </c>
      <c r="C46" s="1"/>
      <c r="D46" s="1"/>
      <c r="E46" s="1"/>
    </row>
    <row r="47" spans="1:5" x14ac:dyDescent="0.25">
      <c r="A47" s="1" t="s">
        <v>48</v>
      </c>
      <c r="B47" s="1">
        <f>SUM(B45:B46)</f>
        <v>150420</v>
      </c>
      <c r="C47" s="1"/>
      <c r="D47" s="1"/>
      <c r="E4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10" workbookViewId="0">
      <selection activeCell="F43" sqref="F43"/>
    </sheetView>
  </sheetViews>
  <sheetFormatPr defaultRowHeight="15" x14ac:dyDescent="0.25"/>
  <cols>
    <col min="1" max="1" width="20.7109375" bestFit="1" customWidth="1"/>
    <col min="2" max="2" width="15.42578125" bestFit="1" customWidth="1"/>
    <col min="3" max="3" width="22.5703125" bestFit="1" customWidth="1"/>
    <col min="5" max="5" width="12.57031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/>
      <c r="B3" s="2" t="s">
        <v>49</v>
      </c>
      <c r="C3" s="1" t="s">
        <v>12</v>
      </c>
      <c r="D3" s="1">
        <f>3000</f>
        <v>3000</v>
      </c>
      <c r="E3" s="1">
        <f>D3*50/100+D3</f>
        <v>4500</v>
      </c>
    </row>
    <row r="4" spans="1:5" x14ac:dyDescent="0.25">
      <c r="A4" s="1"/>
      <c r="B4" s="1" t="s">
        <v>6</v>
      </c>
      <c r="C4" s="1" t="s">
        <v>12</v>
      </c>
      <c r="D4" s="1">
        <f>3000</f>
        <v>3000</v>
      </c>
      <c r="E4" s="1">
        <f t="shared" ref="E4:E28" si="0">D4*50/100+D4</f>
        <v>4500</v>
      </c>
    </row>
    <row r="5" spans="1:5" x14ac:dyDescent="0.25">
      <c r="A5" s="1"/>
      <c r="B5" s="1" t="s">
        <v>7</v>
      </c>
      <c r="C5" s="1" t="s">
        <v>12</v>
      </c>
      <c r="D5" s="1">
        <f>3000</f>
        <v>3000</v>
      </c>
      <c r="E5" s="1">
        <f t="shared" si="0"/>
        <v>4500</v>
      </c>
    </row>
    <row r="6" spans="1:5" x14ac:dyDescent="0.25">
      <c r="A6" s="1"/>
      <c r="B6" s="1" t="s">
        <v>8</v>
      </c>
      <c r="C6" s="1" t="s">
        <v>12</v>
      </c>
      <c r="D6" s="1">
        <f>3000</f>
        <v>3000</v>
      </c>
      <c r="E6" s="1">
        <f t="shared" si="0"/>
        <v>4500</v>
      </c>
    </row>
    <row r="7" spans="1:5" x14ac:dyDescent="0.25">
      <c r="A7" s="1"/>
      <c r="B7" s="1" t="s">
        <v>9</v>
      </c>
      <c r="C7" s="1" t="s">
        <v>12</v>
      </c>
      <c r="D7" s="1">
        <f>3000</f>
        <v>3000</v>
      </c>
      <c r="E7" s="1">
        <f t="shared" si="0"/>
        <v>4500</v>
      </c>
    </row>
    <row r="8" spans="1:5" x14ac:dyDescent="0.25">
      <c r="A8" s="1"/>
      <c r="B8" s="1" t="s">
        <v>9</v>
      </c>
      <c r="C8" s="1" t="s">
        <v>12</v>
      </c>
      <c r="D8" s="1">
        <f>3000</f>
        <v>3000</v>
      </c>
      <c r="E8" s="1">
        <f t="shared" si="0"/>
        <v>4500</v>
      </c>
    </row>
    <row r="9" spans="1:5" x14ac:dyDescent="0.25">
      <c r="A9" s="1"/>
      <c r="B9" s="1" t="s">
        <v>13</v>
      </c>
      <c r="C9" s="1" t="s">
        <v>12</v>
      </c>
      <c r="D9" s="1">
        <f>3000</f>
        <v>3000</v>
      </c>
      <c r="E9" s="1">
        <f t="shared" si="0"/>
        <v>4500</v>
      </c>
    </row>
    <row r="10" spans="1:5" x14ac:dyDescent="0.25">
      <c r="A10" s="1"/>
      <c r="B10" s="1" t="s">
        <v>10</v>
      </c>
      <c r="C10" s="1" t="s">
        <v>12</v>
      </c>
      <c r="D10" s="1">
        <f>3000</f>
        <v>3000</v>
      </c>
      <c r="E10" s="1">
        <f t="shared" si="0"/>
        <v>4500</v>
      </c>
    </row>
    <row r="11" spans="1:5" x14ac:dyDescent="0.25">
      <c r="A11" s="1"/>
      <c r="B11" s="1" t="s">
        <v>14</v>
      </c>
      <c r="C11" s="1" t="s">
        <v>12</v>
      </c>
      <c r="D11" s="1">
        <f>3000</f>
        <v>3000</v>
      </c>
      <c r="E11" s="1">
        <f t="shared" si="0"/>
        <v>4500</v>
      </c>
    </row>
    <row r="12" spans="1:5" x14ac:dyDescent="0.25">
      <c r="A12" s="1"/>
      <c r="B12" s="1"/>
      <c r="C12" s="1" t="s">
        <v>17</v>
      </c>
      <c r="D12" s="1">
        <f>SUM(D3:D11)</f>
        <v>27000</v>
      </c>
      <c r="E12" s="1">
        <f t="shared" si="0"/>
        <v>40500</v>
      </c>
    </row>
    <row r="13" spans="1:5" x14ac:dyDescent="0.25">
      <c r="A13" s="1"/>
      <c r="B13" s="1"/>
      <c r="C13" s="1" t="s">
        <v>16</v>
      </c>
      <c r="D13" s="1">
        <f>D12*15/100</f>
        <v>4050</v>
      </c>
      <c r="E13" s="1"/>
    </row>
    <row r="14" spans="1:5" x14ac:dyDescent="0.25">
      <c r="A14" s="1"/>
      <c r="B14" s="1" t="s">
        <v>11</v>
      </c>
      <c r="C14" s="1" t="s">
        <v>15</v>
      </c>
      <c r="D14" s="1">
        <f>3000</f>
        <v>3000</v>
      </c>
      <c r="E14" s="1">
        <f t="shared" si="0"/>
        <v>4500</v>
      </c>
    </row>
    <row r="15" spans="1:5" x14ac:dyDescent="0.25">
      <c r="A15" s="1"/>
      <c r="B15" s="1"/>
      <c r="C15" s="1"/>
      <c r="D15" s="1">
        <f>SUM(D12:D14)</f>
        <v>34050</v>
      </c>
      <c r="E15" s="1">
        <f>SUM(E12:E14)</f>
        <v>45000</v>
      </c>
    </row>
    <row r="16" spans="1:5" x14ac:dyDescent="0.25">
      <c r="A16" s="1"/>
      <c r="B16" s="1"/>
      <c r="C16" s="1"/>
      <c r="D16" s="1"/>
      <c r="E16" s="1"/>
    </row>
    <row r="17" spans="1:5" x14ac:dyDescent="0.25">
      <c r="A17" s="1" t="s">
        <v>18</v>
      </c>
      <c r="B17" s="1" t="s">
        <v>19</v>
      </c>
      <c r="C17" s="1" t="s">
        <v>20</v>
      </c>
      <c r="D17" s="1">
        <v>5000</v>
      </c>
      <c r="E17" s="1">
        <f t="shared" si="0"/>
        <v>7500</v>
      </c>
    </row>
    <row r="18" spans="1:5" x14ac:dyDescent="0.25">
      <c r="A18" s="1"/>
      <c r="B18" s="1"/>
      <c r="C18" s="1"/>
      <c r="D18" s="1"/>
      <c r="E18" s="1"/>
    </row>
    <row r="19" spans="1:5" x14ac:dyDescent="0.25">
      <c r="A19" s="1" t="s">
        <v>21</v>
      </c>
      <c r="B19" s="1" t="s">
        <v>51</v>
      </c>
      <c r="C19" s="1" t="s">
        <v>20</v>
      </c>
      <c r="D19" s="1" t="s">
        <v>50</v>
      </c>
      <c r="E19" s="1" t="s">
        <v>50</v>
      </c>
    </row>
    <row r="20" spans="1:5" x14ac:dyDescent="0.25">
      <c r="A20" s="1"/>
      <c r="B20" s="1"/>
      <c r="C20" s="1"/>
      <c r="D20" s="1"/>
      <c r="E20" s="1"/>
    </row>
    <row r="21" spans="1:5" x14ac:dyDescent="0.25">
      <c r="A21" s="1" t="s">
        <v>28</v>
      </c>
      <c r="B21" s="1" t="s">
        <v>29</v>
      </c>
      <c r="C21" s="1" t="s">
        <v>32</v>
      </c>
      <c r="D21" s="1">
        <v>3000</v>
      </c>
      <c r="E21" s="1">
        <f t="shared" si="0"/>
        <v>4500</v>
      </c>
    </row>
    <row r="22" spans="1:5" x14ac:dyDescent="0.25">
      <c r="A22" s="1"/>
      <c r="B22" s="1" t="s">
        <v>29</v>
      </c>
      <c r="C22" s="1" t="s">
        <v>33</v>
      </c>
      <c r="D22" s="1">
        <v>3000</v>
      </c>
      <c r="E22" s="1">
        <f t="shared" si="0"/>
        <v>4500</v>
      </c>
    </row>
    <row r="23" spans="1:5" x14ac:dyDescent="0.25">
      <c r="A23" s="1"/>
      <c r="B23" s="1" t="s">
        <v>31</v>
      </c>
      <c r="C23" s="1" t="s">
        <v>34</v>
      </c>
      <c r="D23" s="1">
        <v>3000</v>
      </c>
      <c r="E23" s="1">
        <f t="shared" si="0"/>
        <v>4500</v>
      </c>
    </row>
    <row r="24" spans="1:5" x14ac:dyDescent="0.25">
      <c r="A24" s="1"/>
      <c r="B24" s="1" t="s">
        <v>30</v>
      </c>
      <c r="C24" s="1" t="s">
        <v>35</v>
      </c>
      <c r="D24" s="1">
        <v>3000</v>
      </c>
      <c r="E24" s="1">
        <f t="shared" si="0"/>
        <v>4500</v>
      </c>
    </row>
    <row r="25" spans="1:5" x14ac:dyDescent="0.25">
      <c r="A25" s="1"/>
      <c r="B25" s="1" t="s">
        <v>22</v>
      </c>
      <c r="C25" s="1" t="s">
        <v>20</v>
      </c>
      <c r="D25" s="1">
        <v>2000</v>
      </c>
      <c r="E25" s="1">
        <f t="shared" si="0"/>
        <v>3000</v>
      </c>
    </row>
    <row r="26" spans="1:5" x14ac:dyDescent="0.25">
      <c r="A26" s="1"/>
      <c r="B26" s="1" t="s">
        <v>23</v>
      </c>
      <c r="C26" s="1" t="s">
        <v>25</v>
      </c>
      <c r="D26" s="1">
        <v>2000</v>
      </c>
      <c r="E26" s="1">
        <f t="shared" si="0"/>
        <v>3000</v>
      </c>
    </row>
    <row r="27" spans="1:5" x14ac:dyDescent="0.25">
      <c r="A27" s="1"/>
      <c r="B27" s="1" t="s">
        <v>24</v>
      </c>
      <c r="C27" s="1" t="s">
        <v>26</v>
      </c>
      <c r="D27" s="1">
        <v>2000</v>
      </c>
      <c r="E27" s="1">
        <f t="shared" si="0"/>
        <v>3000</v>
      </c>
    </row>
    <row r="28" spans="1:5" x14ac:dyDescent="0.25">
      <c r="A28" s="1"/>
      <c r="B28" s="1" t="s">
        <v>8</v>
      </c>
      <c r="C28" s="1" t="s">
        <v>27</v>
      </c>
      <c r="D28" s="1">
        <v>2000</v>
      </c>
      <c r="E28" s="1">
        <f t="shared" si="0"/>
        <v>3000</v>
      </c>
    </row>
    <row r="29" spans="1:5" x14ac:dyDescent="0.25">
      <c r="A29" s="1"/>
      <c r="B29" s="1"/>
      <c r="C29" s="1"/>
      <c r="D29" s="1">
        <f>SUM(D21:D28)</f>
        <v>20000</v>
      </c>
      <c r="E29" s="1">
        <f>SUM(E21:E28)</f>
        <v>30000</v>
      </c>
    </row>
    <row r="30" spans="1:5" x14ac:dyDescent="0.25">
      <c r="A30" s="1"/>
      <c r="B30" s="1"/>
      <c r="C30" s="1"/>
      <c r="D30" s="1"/>
      <c r="E30" s="1"/>
    </row>
    <row r="31" spans="1:5" x14ac:dyDescent="0.25">
      <c r="A31" s="1" t="s">
        <v>36</v>
      </c>
      <c r="B31" s="1" t="s">
        <v>37</v>
      </c>
      <c r="C31" s="1" t="s">
        <v>15</v>
      </c>
      <c r="D31" s="1">
        <v>10000</v>
      </c>
      <c r="E31" s="1">
        <f>D31*20/100+D31</f>
        <v>12000</v>
      </c>
    </row>
    <row r="32" spans="1:5" x14ac:dyDescent="0.25">
      <c r="A32" s="1"/>
      <c r="B32" s="1"/>
      <c r="C32" s="1" t="s">
        <v>38</v>
      </c>
      <c r="D32" s="1">
        <f>SUM(D15,D17,D29,D31)</f>
        <v>69050</v>
      </c>
      <c r="E32" s="1">
        <f>SUM(E15,E17,E29,E31)</f>
        <v>94500</v>
      </c>
    </row>
    <row r="33" spans="1:5" x14ac:dyDescent="0.25">
      <c r="A33" s="1"/>
      <c r="B33" s="1"/>
      <c r="C33" s="1" t="s">
        <v>39</v>
      </c>
      <c r="D33" s="1">
        <v>3000</v>
      </c>
      <c r="E33" s="1">
        <v>3000</v>
      </c>
    </row>
    <row r="34" spans="1:5" x14ac:dyDescent="0.25">
      <c r="A34" s="1"/>
      <c r="B34" s="1"/>
      <c r="C34" s="1" t="s">
        <v>40</v>
      </c>
      <c r="D34" s="1">
        <f>SUM(D32:D33)</f>
        <v>72050</v>
      </c>
      <c r="E34" s="1">
        <f>SUM(E32:E33)</f>
        <v>97500</v>
      </c>
    </row>
    <row r="35" spans="1:5" x14ac:dyDescent="0.25">
      <c r="A35" s="1"/>
      <c r="B35" s="1"/>
      <c r="C35" s="1"/>
      <c r="D35" s="1"/>
      <c r="E35" s="1"/>
    </row>
    <row r="36" spans="1:5" x14ac:dyDescent="0.25">
      <c r="A36" s="1" t="s">
        <v>41</v>
      </c>
      <c r="B36" s="1">
        <f>E34-D34</f>
        <v>25450</v>
      </c>
      <c r="C36" s="1"/>
      <c r="D36" s="1"/>
      <c r="E36" s="1"/>
    </row>
    <row r="37" spans="1:5" x14ac:dyDescent="0.25">
      <c r="A37" s="1" t="s">
        <v>42</v>
      </c>
      <c r="B37" s="1">
        <f>E32*20/100</f>
        <v>18900</v>
      </c>
      <c r="C37" s="1"/>
      <c r="D37" s="1"/>
      <c r="E37" s="1"/>
    </row>
    <row r="38" spans="1:5" x14ac:dyDescent="0.25">
      <c r="A38" s="1" t="s">
        <v>43</v>
      </c>
      <c r="B38" s="1">
        <f>SUM(B36:B37)</f>
        <v>44350</v>
      </c>
      <c r="C38" s="1"/>
      <c r="D38" s="1"/>
      <c r="E38" s="1"/>
    </row>
    <row r="39" spans="1:5" x14ac:dyDescent="0.25">
      <c r="A39" s="1" t="s">
        <v>44</v>
      </c>
      <c r="B39" s="1">
        <f>B38*20/100</f>
        <v>8870</v>
      </c>
      <c r="C39" s="1"/>
      <c r="D39" s="1"/>
      <c r="E39" s="1"/>
    </row>
    <row r="40" spans="1:5" x14ac:dyDescent="0.25">
      <c r="A40" s="1" t="s">
        <v>45</v>
      </c>
      <c r="B40" s="1">
        <f>B38-B39</f>
        <v>35480</v>
      </c>
      <c r="C40" s="1"/>
      <c r="D40" s="1"/>
      <c r="E40" s="1"/>
    </row>
    <row r="41" spans="1:5" x14ac:dyDescent="0.25">
      <c r="A41" s="1" t="s">
        <v>46</v>
      </c>
      <c r="B41" s="1">
        <f>SUM(E34,B37)</f>
        <v>116400</v>
      </c>
      <c r="C41" s="1"/>
      <c r="D41" s="1"/>
      <c r="E41" s="1"/>
    </row>
    <row r="42" spans="1:5" x14ac:dyDescent="0.25">
      <c r="A42" s="1" t="s">
        <v>47</v>
      </c>
      <c r="B42" s="1">
        <f>B41*15/100</f>
        <v>17460</v>
      </c>
      <c r="C42" s="1"/>
      <c r="D42" s="1"/>
      <c r="E42" s="1"/>
    </row>
    <row r="43" spans="1:5" x14ac:dyDescent="0.25">
      <c r="A43" s="1" t="s">
        <v>48</v>
      </c>
      <c r="B43" s="1">
        <f>SUM(B41:B42)</f>
        <v>133860</v>
      </c>
      <c r="C43" s="1"/>
      <c r="D43" s="1"/>
      <c r="E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Marano</dc:creator>
  <cp:lastModifiedBy>Daniela Marano</cp:lastModifiedBy>
  <dcterms:created xsi:type="dcterms:W3CDTF">2020-02-26T10:46:04Z</dcterms:created>
  <dcterms:modified xsi:type="dcterms:W3CDTF">2020-03-11T14:51:33Z</dcterms:modified>
</cp:coreProperties>
</file>