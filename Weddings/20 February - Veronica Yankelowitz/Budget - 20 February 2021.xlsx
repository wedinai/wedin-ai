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a Marano\Documents\TON\Weddings\20 February - Veronica Yankelowitz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D16" i="1"/>
  <c r="E15" i="1"/>
  <c r="E14" i="1"/>
  <c r="E13" i="1"/>
  <c r="E12" i="1"/>
  <c r="E11" i="1"/>
  <c r="E10" i="1"/>
  <c r="E9" i="1"/>
  <c r="E16" i="1" s="1"/>
  <c r="D7" i="1"/>
  <c r="D21" i="1" s="1"/>
  <c r="D23" i="1" s="1"/>
  <c r="E6" i="1"/>
  <c r="E5" i="1"/>
  <c r="E4" i="1"/>
  <c r="E3" i="1"/>
  <c r="E7" i="1" s="1"/>
  <c r="E21" i="1" s="1"/>
  <c r="E23" i="1" l="1"/>
  <c r="B25" i="1"/>
  <c r="B29" i="1" l="1"/>
  <c r="B24" i="1"/>
  <c r="B26" i="1" s="1"/>
  <c r="B27" i="1" l="1"/>
  <c r="B28" i="1"/>
  <c r="B30" i="1"/>
  <c r="B31" i="1" s="1"/>
</calcChain>
</file>

<file path=xl/sharedStrings.xml><?xml version="1.0" encoding="utf-8"?>
<sst xmlns="http://schemas.openxmlformats.org/spreadsheetml/2006/main" count="44" uniqueCount="35">
  <si>
    <t xml:space="preserve">Budget - 13 February 2020 </t>
  </si>
  <si>
    <t>Set</t>
  </si>
  <si>
    <t>Musician Type</t>
  </si>
  <si>
    <t>Musician Name</t>
  </si>
  <si>
    <t xml:space="preserve">Rate </t>
  </si>
  <si>
    <t xml:space="preserve">Quoted Rate </t>
  </si>
  <si>
    <t>Dinner</t>
  </si>
  <si>
    <t xml:space="preserve">Saxophone </t>
  </si>
  <si>
    <t xml:space="preserve">Rus Nerwich </t>
  </si>
  <si>
    <t xml:space="preserve">Keys </t>
  </si>
  <si>
    <t xml:space="preserve">Andrew Ford </t>
  </si>
  <si>
    <t xml:space="preserve">Bass </t>
  </si>
  <si>
    <t xml:space="preserve">Nicholas Williams </t>
  </si>
  <si>
    <t xml:space="preserve">Drums </t>
  </si>
  <si>
    <t xml:space="preserve">Kevin Gibson </t>
  </si>
  <si>
    <t xml:space="preserve">Dance </t>
  </si>
  <si>
    <t xml:space="preserve">Vocals </t>
  </si>
  <si>
    <t xml:space="preserve">Nathan Ambach </t>
  </si>
  <si>
    <t xml:space="preserve">Francesca Biancoli </t>
  </si>
  <si>
    <t xml:space="preserve">Guitar </t>
  </si>
  <si>
    <t xml:space="preserve">Angelo Syster </t>
  </si>
  <si>
    <t>Keys</t>
  </si>
  <si>
    <t>Party</t>
  </si>
  <si>
    <t xml:space="preserve">DJ </t>
  </si>
  <si>
    <t xml:space="preserve">Total musician expense </t>
  </si>
  <si>
    <t xml:space="preserve">Coorindation </t>
  </si>
  <si>
    <t>Total expense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</si>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</sst>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21" workbookViewId="0">
      <selection activeCell="E33" sqref="E33"/>
    </sheetView>
  </sheetViews>
  <sheetFormatPr defaultRowHeight="15" x14ac:dyDescent="0.25"/>
  <cols>
    <col min="1" max="1" width="24.42578125" bestFit="1" customWidth="1"/>
    <col min="2" max="2" width="13.7109375" bestFit="1" customWidth="1"/>
    <col min="3" max="3" width="22.5703125" bestFit="1" customWidth="1"/>
    <col min="5" max="5" width="12.57031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>
        <v>2000</v>
      </c>
      <c r="E3" s="1">
        <f>D3*70/100+D3</f>
        <v>3400</v>
      </c>
    </row>
    <row r="4" spans="1:5" x14ac:dyDescent="0.25">
      <c r="A4" s="1"/>
      <c r="B4" s="1" t="s">
        <v>9</v>
      </c>
      <c r="C4" s="1" t="s">
        <v>10</v>
      </c>
      <c r="D4" s="1">
        <v>2000</v>
      </c>
      <c r="E4" s="1">
        <f t="shared" ref="E4:E5" si="0">D4*70/100+D4</f>
        <v>3400</v>
      </c>
    </row>
    <row r="5" spans="1:5" x14ac:dyDescent="0.25">
      <c r="A5" s="1"/>
      <c r="B5" s="1" t="s">
        <v>11</v>
      </c>
      <c r="C5" s="1" t="s">
        <v>12</v>
      </c>
      <c r="D5" s="1">
        <v>2000</v>
      </c>
      <c r="E5" s="1">
        <f t="shared" si="0"/>
        <v>3400</v>
      </c>
    </row>
    <row r="6" spans="1:5" x14ac:dyDescent="0.25">
      <c r="A6" s="1"/>
      <c r="B6" s="1" t="s">
        <v>13</v>
      </c>
      <c r="C6" s="1" t="s">
        <v>14</v>
      </c>
      <c r="D6" s="1">
        <v>2000</v>
      </c>
      <c r="E6" s="1">
        <f>D6*70/100+D6</f>
        <v>3400</v>
      </c>
    </row>
    <row r="7" spans="1:5" x14ac:dyDescent="0.25">
      <c r="A7" s="1"/>
      <c r="B7" s="1"/>
      <c r="C7" s="1"/>
      <c r="D7" s="2">
        <f>SUM(D3:D6)</f>
        <v>8000</v>
      </c>
      <c r="E7" s="2">
        <f>SUM(E3:E6)</f>
        <v>13600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 t="s">
        <v>15</v>
      </c>
      <c r="B9" s="1" t="s">
        <v>16</v>
      </c>
      <c r="C9" s="1" t="s">
        <v>17</v>
      </c>
      <c r="D9" s="1">
        <v>7500</v>
      </c>
      <c r="E9" s="1">
        <f>D9*70/100+D9</f>
        <v>12750</v>
      </c>
    </row>
    <row r="10" spans="1:5" x14ac:dyDescent="0.25">
      <c r="A10" s="1"/>
      <c r="B10" s="1" t="s">
        <v>16</v>
      </c>
      <c r="C10" s="1" t="s">
        <v>18</v>
      </c>
      <c r="D10" s="1">
        <v>3000</v>
      </c>
      <c r="E10" s="1">
        <f t="shared" ref="E10:E15" si="1">D10*70/100+D10</f>
        <v>5100</v>
      </c>
    </row>
    <row r="11" spans="1:5" x14ac:dyDescent="0.25">
      <c r="A11" s="1"/>
      <c r="B11" s="1" t="s">
        <v>19</v>
      </c>
      <c r="C11" s="1" t="s">
        <v>20</v>
      </c>
      <c r="D11" s="1">
        <v>3000</v>
      </c>
      <c r="E11" s="1">
        <f t="shared" si="1"/>
        <v>5100</v>
      </c>
    </row>
    <row r="12" spans="1:5" x14ac:dyDescent="0.25">
      <c r="A12" s="1"/>
      <c r="B12" s="1" t="s">
        <v>7</v>
      </c>
      <c r="C12" s="1" t="s">
        <v>8</v>
      </c>
      <c r="D12" s="1">
        <v>2000</v>
      </c>
      <c r="E12" s="1">
        <f t="shared" si="1"/>
        <v>3400</v>
      </c>
    </row>
    <row r="13" spans="1:5" x14ac:dyDescent="0.25">
      <c r="A13" s="1"/>
      <c r="B13" s="1" t="s">
        <v>21</v>
      </c>
      <c r="C13" s="1" t="s">
        <v>10</v>
      </c>
      <c r="D13" s="1">
        <v>2000</v>
      </c>
      <c r="E13" s="1">
        <f t="shared" si="1"/>
        <v>3400</v>
      </c>
    </row>
    <row r="14" spans="1:5" x14ac:dyDescent="0.25">
      <c r="A14" s="1"/>
      <c r="B14" s="1" t="s">
        <v>11</v>
      </c>
      <c r="C14" s="1" t="s">
        <v>12</v>
      </c>
      <c r="D14" s="1">
        <v>2000</v>
      </c>
      <c r="E14" s="1">
        <f t="shared" si="1"/>
        <v>3400</v>
      </c>
    </row>
    <row r="15" spans="1:5" x14ac:dyDescent="0.25">
      <c r="A15" s="1"/>
      <c r="B15" s="1" t="s">
        <v>13</v>
      </c>
      <c r="C15" s="1" t="s">
        <v>14</v>
      </c>
      <c r="D15" s="1">
        <v>2000</v>
      </c>
      <c r="E15" s="1">
        <f t="shared" si="1"/>
        <v>3400</v>
      </c>
    </row>
    <row r="16" spans="1:5" x14ac:dyDescent="0.25">
      <c r="A16" s="1"/>
      <c r="B16" s="1"/>
      <c r="C16" s="1"/>
      <c r="D16" s="2">
        <f>SUM(D9:D15)</f>
        <v>21500</v>
      </c>
      <c r="E16" s="2">
        <f>SUM(E9:E15)</f>
        <v>36550</v>
      </c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 t="s">
        <v>22</v>
      </c>
      <c r="B19" s="1" t="s">
        <v>23</v>
      </c>
      <c r="C19" s="1" t="s">
        <v>17</v>
      </c>
      <c r="D19" s="2">
        <v>10000</v>
      </c>
      <c r="E19" s="2">
        <f>D19*50/100+D19</f>
        <v>15000</v>
      </c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 t="s">
        <v>24</v>
      </c>
      <c r="D21" s="1">
        <f>SUM(D7,D16,D19)</f>
        <v>39500</v>
      </c>
      <c r="E21" s="1">
        <f>SUM(E7,E16,E19)</f>
        <v>65150</v>
      </c>
    </row>
    <row r="22" spans="1:5" x14ac:dyDescent="0.25">
      <c r="A22" s="1"/>
      <c r="B22" s="1"/>
      <c r="C22" s="1" t="s">
        <v>25</v>
      </c>
      <c r="D22" s="1">
        <v>3000</v>
      </c>
      <c r="E22" s="1">
        <v>3000</v>
      </c>
    </row>
    <row r="23" spans="1:5" x14ac:dyDescent="0.25">
      <c r="A23" s="1"/>
      <c r="B23" s="1"/>
      <c r="C23" s="1" t="s">
        <v>26</v>
      </c>
      <c r="D23" s="1">
        <f>SUM(D21:D22)</f>
        <v>42500</v>
      </c>
      <c r="E23" s="1">
        <f>SUM(E21:E22)</f>
        <v>68150</v>
      </c>
    </row>
    <row r="24" spans="1:5" x14ac:dyDescent="0.25">
      <c r="A24" s="1" t="s">
        <v>27</v>
      </c>
      <c r="B24" s="1">
        <f>E23-D23</f>
        <v>25650</v>
      </c>
      <c r="C24" s="1"/>
      <c r="D24" s="1"/>
      <c r="E24" s="1"/>
    </row>
    <row r="25" spans="1:5" x14ac:dyDescent="0.25">
      <c r="A25" s="1" t="s">
        <v>28</v>
      </c>
      <c r="B25" s="1">
        <f>E21*20/100</f>
        <v>13030</v>
      </c>
      <c r="C25" s="1"/>
      <c r="D25" s="1"/>
      <c r="E25" s="1"/>
    </row>
    <row r="26" spans="1:5" x14ac:dyDescent="0.25">
      <c r="A26" s="1" t="s">
        <v>29</v>
      </c>
      <c r="B26" s="1">
        <f>SUM(B24:B25)</f>
        <v>38680</v>
      </c>
      <c r="C26" s="1"/>
      <c r="D26" s="1"/>
      <c r="E26" s="1"/>
    </row>
    <row r="27" spans="1:5" x14ac:dyDescent="0.25">
      <c r="A27" s="1" t="s">
        <v>30</v>
      </c>
      <c r="B27" s="1">
        <f>B26*20/100</f>
        <v>7736</v>
      </c>
      <c r="C27" s="1"/>
      <c r="D27" s="1"/>
      <c r="E27" s="1"/>
    </row>
    <row r="28" spans="1:5" x14ac:dyDescent="0.25">
      <c r="A28" s="1" t="s">
        <v>31</v>
      </c>
      <c r="B28" s="1">
        <f>B26-B27</f>
        <v>30944</v>
      </c>
      <c r="C28" s="1"/>
      <c r="D28" s="1"/>
      <c r="E28" s="1"/>
    </row>
    <row r="29" spans="1:5" x14ac:dyDescent="0.25">
      <c r="A29" s="1" t="s">
        <v>32</v>
      </c>
      <c r="B29" s="1">
        <f>SUM(E23,B25)</f>
        <v>81180</v>
      </c>
      <c r="C29" s="1"/>
      <c r="D29" s="1"/>
      <c r="E29" s="1"/>
    </row>
    <row r="30" spans="1:5" x14ac:dyDescent="0.25">
      <c r="A30" s="1" t="s">
        <v>33</v>
      </c>
      <c r="B30" s="1">
        <f>B29*15/100</f>
        <v>12177</v>
      </c>
      <c r="C30" s="1"/>
      <c r="D30" s="1"/>
      <c r="E30" s="1"/>
    </row>
    <row r="31" spans="1:5" x14ac:dyDescent="0.25">
      <c r="A31" s="1" t="s">
        <v>34</v>
      </c>
      <c r="B31" s="1">
        <f>SUM(B29:B30)</f>
        <v>93357</v>
      </c>
      <c r="C31" s="1"/>
      <c r="D31" s="1"/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Marano</dc:creator>
  <cp:lastModifiedBy>Daniela Marano</cp:lastModifiedBy>
  <dcterms:created xsi:type="dcterms:W3CDTF">2020-07-07T09:39:29Z</dcterms:created>
  <dcterms:modified xsi:type="dcterms:W3CDTF">2020-07-07T09:40:47Z</dcterms:modified>
</cp:coreProperties>
</file>