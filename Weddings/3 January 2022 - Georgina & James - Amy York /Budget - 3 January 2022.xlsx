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ised budget - 3 January 20" sheetId="1" r:id="rId5"/>
  </sheets>
  <definedNames/>
  <calcPr/>
</workbook>
</file>

<file path=xl/sharedStrings.xml><?xml version="1.0" encoding="utf-8"?>
<sst xmlns="http://schemas.openxmlformats.org/spreadsheetml/2006/main" count="28" uniqueCount="25">
  <si>
    <t>Set</t>
  </si>
  <si>
    <t xml:space="preserve">Musician Type </t>
  </si>
  <si>
    <t xml:space="preserve">Musician Name </t>
  </si>
  <si>
    <t xml:space="preserve">Rate </t>
  </si>
  <si>
    <t xml:space="preserve">Quoted Rate </t>
  </si>
  <si>
    <t xml:space="preserve">Total expense </t>
  </si>
  <si>
    <t xml:space="preserve">Ceremony </t>
  </si>
  <si>
    <t>N/A</t>
  </si>
  <si>
    <t xml:space="preserve">Tracks played through PA </t>
  </si>
  <si>
    <t xml:space="preserve">Pre-drinks </t>
  </si>
  <si>
    <t xml:space="preserve">Solo vocals + guitar </t>
  </si>
  <si>
    <t xml:space="preserve">Ethan Florus </t>
  </si>
  <si>
    <t xml:space="preserve">Dinner, Dance and Party </t>
  </si>
  <si>
    <t xml:space="preserve">DJ </t>
  </si>
  <si>
    <t xml:space="preserve">Colin Sher </t>
  </si>
  <si>
    <t xml:space="preserve">Total musician expense </t>
  </si>
  <si>
    <t xml:space="preserve">Coordination </t>
  </si>
  <si>
    <t xml:space="preserve">Built in commission </t>
  </si>
  <si>
    <t>Booking fee - 20%</t>
  </si>
  <si>
    <t xml:space="preserve">Total commission </t>
  </si>
  <si>
    <t xml:space="preserve">Dani  commission </t>
  </si>
  <si>
    <t xml:space="preserve">TON commission </t>
  </si>
  <si>
    <t xml:space="preserve">Total </t>
  </si>
  <si>
    <t xml:space="preserve">Deposit payment received </t>
  </si>
  <si>
    <t xml:space="preserve">Balance of payment received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</si>
</sst>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f>SUM(D4,D5,D8,B13)</f>
        <v>24800</v>
      </c>
    </row>
    <row r="2">
      <c r="A2" s="1" t="s">
        <v>6</v>
      </c>
      <c r="B2" s="1" t="s">
        <v>7</v>
      </c>
      <c r="C2" s="1" t="s">
        <v>8</v>
      </c>
      <c r="D2" s="1" t="s">
        <v>7</v>
      </c>
      <c r="E2" s="1" t="s">
        <v>7</v>
      </c>
      <c r="G2" s="2">
        <f>G1-B17</f>
        <v>9500</v>
      </c>
    </row>
    <row r="4">
      <c r="A4" s="1" t="s">
        <v>9</v>
      </c>
      <c r="B4" s="1" t="s">
        <v>10</v>
      </c>
      <c r="C4" s="1" t="s">
        <v>11</v>
      </c>
      <c r="D4" s="1">
        <v>3500.0</v>
      </c>
      <c r="E4" s="1">
        <v>6000.0</v>
      </c>
    </row>
    <row r="5">
      <c r="A5" s="1" t="s">
        <v>12</v>
      </c>
      <c r="B5" s="1" t="s">
        <v>13</v>
      </c>
      <c r="C5" s="1" t="s">
        <v>14</v>
      </c>
      <c r="D5" s="1">
        <v>12500.0</v>
      </c>
      <c r="E5" s="1">
        <v>17000.0</v>
      </c>
    </row>
    <row r="7">
      <c r="C7" s="1" t="s">
        <v>15</v>
      </c>
      <c r="D7" s="2">
        <f>SUM(D4:D5)</f>
        <v>16000</v>
      </c>
      <c r="E7" s="2">
        <f>SUM(E2:E5)</f>
        <v>23000</v>
      </c>
    </row>
    <row r="8">
      <c r="C8" s="1" t="s">
        <v>16</v>
      </c>
      <c r="D8" s="1">
        <v>3000.0</v>
      </c>
      <c r="E8" s="1">
        <v>3000.0</v>
      </c>
    </row>
    <row r="9">
      <c r="C9" s="1" t="s">
        <v>5</v>
      </c>
      <c r="D9" s="2">
        <f t="shared" ref="D9:E9" si="1">SUM(D7:D8)</f>
        <v>19000</v>
      </c>
      <c r="E9" s="2">
        <f t="shared" si="1"/>
        <v>26000</v>
      </c>
    </row>
    <row r="10">
      <c r="A10" s="1" t="s">
        <v>17</v>
      </c>
      <c r="B10" s="2">
        <f>E9-D9</f>
        <v>7000</v>
      </c>
    </row>
    <row r="11">
      <c r="A11" s="1" t="s">
        <v>18</v>
      </c>
      <c r="B11" s="2">
        <f>E7*20/100</f>
        <v>4600</v>
      </c>
    </row>
    <row r="12">
      <c r="A12" s="1" t="s">
        <v>19</v>
      </c>
      <c r="B12" s="2">
        <f>SUM(B10:B11)</f>
        <v>11600</v>
      </c>
    </row>
    <row r="13">
      <c r="A13" s="1" t="s">
        <v>20</v>
      </c>
      <c r="B13" s="2">
        <f>B12/2</f>
        <v>5800</v>
      </c>
    </row>
    <row r="14">
      <c r="A14" s="1" t="s">
        <v>21</v>
      </c>
      <c r="B14" s="2">
        <f>B12/2</f>
        <v>5800</v>
      </c>
    </row>
    <row r="15">
      <c r="A15" s="1" t="s">
        <v>22</v>
      </c>
      <c r="B15" s="2">
        <f>SUM(E9,B11)</f>
        <v>30600</v>
      </c>
    </row>
    <row r="16">
      <c r="A16" s="1" t="s">
        <v>23</v>
      </c>
      <c r="B16" s="2">
        <f>B15/2</f>
        <v>15300</v>
      </c>
    </row>
    <row r="17">
      <c r="A17" s="1" t="s">
        <v>24</v>
      </c>
      <c r="B17" s="2">
        <f>B15-B16</f>
        <v>15300</v>
      </c>
    </row>
  </sheetData>
  <drawing r:id="rId1"/>
</worksheet>
</file>