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budget - 19 December 20" sheetId="1" r:id="rId4"/>
  </sheets>
  <definedNames/>
  <calcPr/>
  <extLst>
    <ext uri="GoogleSheetsCustomDataVersion1">
      <go:sheetsCustomData xmlns:go="http://customooxmlschemas.google.com/" r:id="rId5" roundtripDataSignature="AMtx7mgl6UHSoe8+jljB6ron6kk6fMW3CA=="/>
    </ext>
  </extLst>
</workbook>
</file>

<file path=xl/sharedStrings.xml><?xml version="1.0" encoding="utf-8"?>
<sst xmlns="http://schemas.openxmlformats.org/spreadsheetml/2006/main" count="38" uniqueCount="35">
  <si>
    <t xml:space="preserve">Budget - 19 December 2021 </t>
  </si>
  <si>
    <t xml:space="preserve">Set </t>
  </si>
  <si>
    <t xml:space="preserve">Musician Type </t>
  </si>
  <si>
    <t xml:space="preserve">Musician Name </t>
  </si>
  <si>
    <t xml:space="preserve">Rate </t>
  </si>
  <si>
    <t xml:space="preserve">Quoted Rate </t>
  </si>
  <si>
    <t xml:space="preserve">Pre-drinks </t>
  </si>
  <si>
    <t xml:space="preserve">DJ </t>
  </si>
  <si>
    <t xml:space="preserve">Nathan Ambach </t>
  </si>
  <si>
    <t xml:space="preserve">Trumpet </t>
  </si>
  <si>
    <t xml:space="preserve">Marco Maritz </t>
  </si>
  <si>
    <t xml:space="preserve">Percussion </t>
  </si>
  <si>
    <t xml:space="preserve">John Hassan </t>
  </si>
  <si>
    <t>Dinner</t>
  </si>
  <si>
    <t xml:space="preserve">Vocals </t>
  </si>
  <si>
    <t xml:space="preserve">Guitar </t>
  </si>
  <si>
    <t xml:space="preserve">Bradley Prince </t>
  </si>
  <si>
    <t xml:space="preserve">Saxophone </t>
  </si>
  <si>
    <t>Keys</t>
  </si>
  <si>
    <t>Blake Hellaby</t>
  </si>
  <si>
    <t>Bass</t>
  </si>
  <si>
    <t xml:space="preserve">Nicholas Williams </t>
  </si>
  <si>
    <t xml:space="preserve">Drums </t>
  </si>
  <si>
    <t xml:space="preserve">Kevin Gibson </t>
  </si>
  <si>
    <t xml:space="preserve">Party - 1 hour set </t>
  </si>
  <si>
    <t>DJ</t>
  </si>
  <si>
    <t xml:space="preserve">Total musician expense </t>
  </si>
  <si>
    <t xml:space="preserve">Coordination </t>
  </si>
  <si>
    <t xml:space="preserve">Total expense </t>
  </si>
  <si>
    <t xml:space="preserve">Built in commission </t>
  </si>
  <si>
    <t>Booking fee - 20%</t>
  </si>
  <si>
    <t xml:space="preserve">Total commission </t>
  </si>
  <si>
    <t xml:space="preserve">Dani commission </t>
  </si>
  <si>
    <t xml:space="preserve">TON commission </t>
  </si>
  <si>
    <t xml:space="preserve">Total excluding VAT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</si>
</sst>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12.38"/>
    <col customWidth="1" min="3" max="3" width="19.75"/>
    <col customWidth="1" min="4" max="4" width="7.63"/>
    <col customWidth="1" min="5" max="5" width="11.0"/>
    <col customWidth="1" min="6" max="26" width="7.63"/>
  </cols>
  <sheetData>
    <row r="1">
      <c r="A1" s="1" t="s">
        <v>0</v>
      </c>
      <c r="B1" s="1"/>
      <c r="C1" s="1"/>
      <c r="D1" s="1"/>
      <c r="E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 t="s">
        <v>6</v>
      </c>
      <c r="B3" s="2" t="s">
        <v>7</v>
      </c>
      <c r="C3" s="3" t="s">
        <v>8</v>
      </c>
      <c r="D3" s="3">
        <v>5000.0</v>
      </c>
      <c r="E3" s="3">
        <f>D3*20/100+D3</f>
        <v>6000</v>
      </c>
    </row>
    <row r="4">
      <c r="A4" s="2"/>
      <c r="B4" s="2" t="s">
        <v>9</v>
      </c>
      <c r="C4" s="3" t="s">
        <v>10</v>
      </c>
      <c r="D4" s="3">
        <v>3000.0</v>
      </c>
      <c r="E4" s="3">
        <v>3750.0</v>
      </c>
    </row>
    <row r="5">
      <c r="A5" s="2"/>
      <c r="B5" s="3" t="s">
        <v>11</v>
      </c>
      <c r="C5" s="3" t="s">
        <v>12</v>
      </c>
      <c r="D5" s="3">
        <v>3000.0</v>
      </c>
      <c r="E5" s="3">
        <v>3750.0</v>
      </c>
    </row>
    <row r="6">
      <c r="A6" s="2"/>
      <c r="B6" s="2"/>
      <c r="C6" s="2"/>
      <c r="D6" s="2">
        <f t="shared" ref="D6:E6" si="1">SUM(D3:D5)</f>
        <v>11000</v>
      </c>
      <c r="E6" s="2">
        <f t="shared" si="1"/>
        <v>13500</v>
      </c>
    </row>
    <row r="7">
      <c r="A7" s="2"/>
      <c r="B7" s="2"/>
      <c r="C7" s="2"/>
      <c r="D7" s="2"/>
      <c r="E7" s="2"/>
    </row>
    <row r="8">
      <c r="A8" s="3" t="s">
        <v>13</v>
      </c>
      <c r="B8" s="2" t="s">
        <v>14</v>
      </c>
      <c r="C8" s="2" t="s">
        <v>8</v>
      </c>
      <c r="D8" s="3">
        <v>5000.0</v>
      </c>
      <c r="E8" s="2">
        <v>6000.0</v>
      </c>
    </row>
    <row r="9">
      <c r="A9" s="2"/>
      <c r="B9" s="3" t="s">
        <v>15</v>
      </c>
      <c r="C9" s="3" t="s">
        <v>16</v>
      </c>
      <c r="D9" s="3">
        <v>3000.0</v>
      </c>
      <c r="E9" s="2">
        <v>6000.0</v>
      </c>
    </row>
    <row r="10">
      <c r="A10" s="2"/>
      <c r="B10" s="2" t="s">
        <v>17</v>
      </c>
      <c r="C10" s="3" t="s">
        <v>10</v>
      </c>
      <c r="D10" s="3">
        <v>2000.0</v>
      </c>
      <c r="E10" s="2">
        <v>6000.0</v>
      </c>
    </row>
    <row r="11">
      <c r="A11" s="2"/>
      <c r="B11" s="2" t="s">
        <v>18</v>
      </c>
      <c r="C11" s="3" t="s">
        <v>19</v>
      </c>
      <c r="D11" s="3">
        <v>3000.0</v>
      </c>
      <c r="E11" s="2">
        <v>6000.0</v>
      </c>
    </row>
    <row r="12">
      <c r="A12" s="2"/>
      <c r="B12" s="2" t="s">
        <v>20</v>
      </c>
      <c r="C12" s="2" t="s">
        <v>21</v>
      </c>
      <c r="D12" s="3">
        <v>3000.0</v>
      </c>
      <c r="E12" s="2">
        <v>6000.0</v>
      </c>
    </row>
    <row r="13">
      <c r="A13" s="2"/>
      <c r="B13" s="2" t="s">
        <v>22</v>
      </c>
      <c r="C13" s="2" t="s">
        <v>23</v>
      </c>
      <c r="D13" s="3">
        <v>3000.0</v>
      </c>
      <c r="E13" s="2">
        <v>6000.0</v>
      </c>
    </row>
    <row r="14">
      <c r="A14" s="2"/>
      <c r="B14" s="2"/>
      <c r="C14" s="2"/>
      <c r="D14" s="2">
        <f t="shared" ref="D14:E14" si="2">SUM(D8:D13)</f>
        <v>19000</v>
      </c>
      <c r="E14" s="2">
        <f t="shared" si="2"/>
        <v>36000</v>
      </c>
    </row>
    <row r="15">
      <c r="A15" s="2"/>
      <c r="B15" s="2"/>
      <c r="C15" s="2"/>
      <c r="D15" s="2"/>
      <c r="E15" s="2"/>
    </row>
    <row r="16">
      <c r="A16" s="3" t="s">
        <v>24</v>
      </c>
      <c r="B16" s="2" t="s">
        <v>25</v>
      </c>
      <c r="C16" s="3" t="s">
        <v>8</v>
      </c>
      <c r="D16" s="3">
        <v>5000.0</v>
      </c>
      <c r="E16" s="3">
        <v>10000.0</v>
      </c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 t="s">
        <v>26</v>
      </c>
      <c r="D19" s="2">
        <f t="shared" ref="D19:E19" si="3">SUM(D6,D14,D16)</f>
        <v>35000</v>
      </c>
      <c r="E19" s="2">
        <f t="shared" si="3"/>
        <v>59500</v>
      </c>
    </row>
    <row r="20">
      <c r="A20" s="2"/>
      <c r="B20" s="2"/>
      <c r="C20" s="2" t="s">
        <v>27</v>
      </c>
      <c r="D20" s="2">
        <v>3000.0</v>
      </c>
      <c r="E20" s="2">
        <v>3000.0</v>
      </c>
    </row>
    <row r="21">
      <c r="A21" s="2"/>
      <c r="B21" s="2"/>
      <c r="C21" s="2" t="s">
        <v>28</v>
      </c>
      <c r="D21" s="2">
        <f t="shared" ref="D21:E21" si="4">SUM(D19:D20)</f>
        <v>38000</v>
      </c>
      <c r="E21" s="2">
        <f t="shared" si="4"/>
        <v>62500</v>
      </c>
    </row>
    <row r="22">
      <c r="A22" s="2" t="s">
        <v>29</v>
      </c>
      <c r="B22" s="2">
        <f>E21-D21</f>
        <v>24500</v>
      </c>
      <c r="C22" s="2"/>
      <c r="D22" s="2"/>
      <c r="E22" s="2"/>
    </row>
    <row r="23">
      <c r="A23" s="2" t="s">
        <v>30</v>
      </c>
      <c r="B23" s="2">
        <f>E19*20/100</f>
        <v>11900</v>
      </c>
      <c r="C23" s="2"/>
      <c r="D23" s="2"/>
      <c r="E23" s="2"/>
    </row>
    <row r="24" ht="15.75" customHeight="1">
      <c r="A24" s="2" t="s">
        <v>31</v>
      </c>
      <c r="B24" s="2">
        <f>SUM(B22:B23)</f>
        <v>36400</v>
      </c>
      <c r="C24" s="2"/>
      <c r="D24" s="2"/>
      <c r="E24" s="2"/>
    </row>
    <row r="25" ht="15.75" customHeight="1">
      <c r="A25" s="2" t="s">
        <v>32</v>
      </c>
      <c r="B25" s="2">
        <f>B24/2</f>
        <v>18200</v>
      </c>
      <c r="C25" s="2"/>
      <c r="D25" s="2"/>
      <c r="E25" s="2"/>
    </row>
    <row r="26" ht="15.75" customHeight="1">
      <c r="A26" s="2" t="s">
        <v>33</v>
      </c>
      <c r="B26" s="2">
        <f>B24-B25</f>
        <v>18200</v>
      </c>
      <c r="C26" s="2"/>
      <c r="D26" s="2"/>
      <c r="E26" s="2"/>
    </row>
    <row r="27" ht="15.75" customHeight="1">
      <c r="A27" s="2" t="s">
        <v>34</v>
      </c>
      <c r="B27" s="2">
        <f>SUM(E21,B23)</f>
        <v>74400</v>
      </c>
      <c r="C27" s="2"/>
      <c r="D27" s="2"/>
      <c r="E27" s="2"/>
    </row>
    <row r="28" ht="15.75" customHeight="1">
      <c r="C28" s="4">
        <f>SUM(B25,D20)</f>
        <v>21200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2020-08-05T16:32:45Z</dcterms:created>
  <dc:creator>Daniela Marano</dc:creator>
</cp:coreProperties>
</file>