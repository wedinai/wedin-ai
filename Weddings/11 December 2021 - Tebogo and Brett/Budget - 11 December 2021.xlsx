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- 11 December 2021" sheetId="1" r:id="rId5"/>
  </sheets>
  <definedNames/>
  <calcPr/>
</workbook>
</file>

<file path=xl/sharedStrings.xml><?xml version="1.0" encoding="utf-8"?>
<sst xmlns="http://schemas.openxmlformats.org/spreadsheetml/2006/main" count="47" uniqueCount="31">
  <si>
    <t>Budget - 11 December 2021</t>
  </si>
  <si>
    <t xml:space="preserve">Set </t>
  </si>
  <si>
    <t xml:space="preserve">Musician Type </t>
  </si>
  <si>
    <t xml:space="preserve">Musician Name </t>
  </si>
  <si>
    <t xml:space="preserve">Rate </t>
  </si>
  <si>
    <t xml:space="preserve">Quoted rate </t>
  </si>
  <si>
    <t xml:space="preserve">Pre-drinks </t>
  </si>
  <si>
    <t xml:space="preserve">Trumpet </t>
  </si>
  <si>
    <t xml:space="preserve">Marco Maritz </t>
  </si>
  <si>
    <t>Guitar</t>
  </si>
  <si>
    <t>Double Bass</t>
  </si>
  <si>
    <t xml:space="preserve">Wesley Rustin </t>
  </si>
  <si>
    <t xml:space="preserve">Dinner - Option One </t>
  </si>
  <si>
    <t xml:space="preserve">Vocals </t>
  </si>
  <si>
    <t xml:space="preserve">Nathan Ambach </t>
  </si>
  <si>
    <t xml:space="preserve">Keys/Guitar </t>
  </si>
  <si>
    <t>TBC</t>
  </si>
  <si>
    <t xml:space="preserve">Bass </t>
  </si>
  <si>
    <t xml:space="preserve">Drums </t>
  </si>
  <si>
    <t xml:space="preserve">Dinner - Option Two </t>
  </si>
  <si>
    <t xml:space="preserve">DJ </t>
  </si>
  <si>
    <t xml:space="preserve">Dance </t>
  </si>
  <si>
    <t xml:space="preserve">TBC </t>
  </si>
  <si>
    <t xml:space="preserve">Party </t>
  </si>
  <si>
    <t xml:space="preserve">Total musician expense </t>
  </si>
  <si>
    <t xml:space="preserve">Built-in commission </t>
  </si>
  <si>
    <t>Booking fee - 20%</t>
  </si>
  <si>
    <t xml:space="preserve">Total commission </t>
  </si>
  <si>
    <t xml:space="preserve">TON commission </t>
  </si>
  <si>
    <t xml:space="preserve">Dani commission </t>
  </si>
  <si>
    <t xml:space="preserve">Total excluding VAT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</si>
</sst>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6.0"/>
    <col customWidth="1" min="3" max="3" width="16.88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>
        <v>2500.0</v>
      </c>
      <c r="E3" s="2">
        <f>D3*50/100+D3</f>
        <v>3750</v>
      </c>
    </row>
    <row r="4">
      <c r="B4" s="1" t="s">
        <v>9</v>
      </c>
      <c r="C4" s="1"/>
      <c r="D4" s="1"/>
    </row>
    <row r="5">
      <c r="B5" s="1" t="s">
        <v>10</v>
      </c>
      <c r="C5" s="1" t="s">
        <v>11</v>
      </c>
      <c r="D5" s="1">
        <v>2500.0</v>
      </c>
      <c r="E5" s="2">
        <f>D5*50/100+D5</f>
        <v>3750</v>
      </c>
    </row>
    <row r="6">
      <c r="D6" s="2">
        <f t="shared" ref="D6:E6" si="1">SUM(D3:D5)</f>
        <v>5000</v>
      </c>
      <c r="E6" s="2">
        <f t="shared" si="1"/>
        <v>7500</v>
      </c>
    </row>
    <row r="7">
      <c r="A7" s="1"/>
      <c r="B7" s="1"/>
      <c r="C7" s="1"/>
      <c r="D7" s="1"/>
    </row>
    <row r="8">
      <c r="A8" s="1" t="s">
        <v>12</v>
      </c>
      <c r="B8" s="1" t="s">
        <v>13</v>
      </c>
      <c r="C8" s="1" t="s">
        <v>14</v>
      </c>
      <c r="D8" s="1">
        <v>2000.0</v>
      </c>
      <c r="E8" s="2">
        <f t="shared" ref="E8:E12" si="2">D8*50/100+D8</f>
        <v>3000</v>
      </c>
    </row>
    <row r="9">
      <c r="B9" s="1" t="s">
        <v>7</v>
      </c>
      <c r="C9" s="1" t="s">
        <v>8</v>
      </c>
      <c r="D9" s="1">
        <v>2000.0</v>
      </c>
      <c r="E9" s="2">
        <f t="shared" si="2"/>
        <v>3000</v>
      </c>
    </row>
    <row r="10">
      <c r="A10" s="1"/>
      <c r="B10" s="1" t="s">
        <v>15</v>
      </c>
      <c r="C10" s="1" t="s">
        <v>16</v>
      </c>
      <c r="D10" s="1">
        <v>2000.0</v>
      </c>
      <c r="E10" s="2">
        <f t="shared" si="2"/>
        <v>3000</v>
      </c>
    </row>
    <row r="11">
      <c r="A11" s="1"/>
      <c r="B11" s="1" t="s">
        <v>17</v>
      </c>
      <c r="C11" s="1" t="s">
        <v>11</v>
      </c>
      <c r="D11" s="1">
        <v>2000.0</v>
      </c>
      <c r="E11" s="2">
        <f t="shared" si="2"/>
        <v>3000</v>
      </c>
    </row>
    <row r="12">
      <c r="A12" s="1"/>
      <c r="B12" s="1" t="s">
        <v>18</v>
      </c>
      <c r="C12" s="1" t="s">
        <v>16</v>
      </c>
      <c r="D12" s="1">
        <v>2000.0</v>
      </c>
      <c r="E12" s="2">
        <f t="shared" si="2"/>
        <v>3000</v>
      </c>
    </row>
    <row r="13">
      <c r="A13" s="1"/>
      <c r="D13" s="2">
        <f t="shared" ref="D13:E13" si="3">SUM(D8:D12)</f>
        <v>10000</v>
      </c>
      <c r="E13" s="2">
        <f t="shared" si="3"/>
        <v>15000</v>
      </c>
    </row>
    <row r="14">
      <c r="A14" s="1"/>
      <c r="B14" s="1"/>
      <c r="C14" s="1"/>
    </row>
    <row r="15">
      <c r="A15" s="1" t="s">
        <v>19</v>
      </c>
      <c r="B15" s="1" t="s">
        <v>20</v>
      </c>
      <c r="C15" s="1" t="s">
        <v>14</v>
      </c>
      <c r="D15" s="2">
        <f>1500*2</f>
        <v>3000</v>
      </c>
      <c r="E15" s="1">
        <v>3000.0</v>
      </c>
    </row>
    <row r="16">
      <c r="A16" s="1"/>
      <c r="B16" s="1"/>
      <c r="C16" s="1"/>
    </row>
    <row r="17">
      <c r="A17" s="1" t="s">
        <v>21</v>
      </c>
      <c r="B17" s="1" t="s">
        <v>13</v>
      </c>
      <c r="C17" s="1" t="s">
        <v>14</v>
      </c>
      <c r="D17" s="2">
        <f>5000</f>
        <v>5000</v>
      </c>
      <c r="E17" s="2">
        <f t="shared" ref="E17:E21" si="4">D17*50/100+D17</f>
        <v>7500</v>
      </c>
    </row>
    <row r="18">
      <c r="B18" s="1" t="s">
        <v>7</v>
      </c>
      <c r="C18" s="1" t="s">
        <v>8</v>
      </c>
      <c r="D18" s="1">
        <v>3000.0</v>
      </c>
      <c r="E18" s="2">
        <f t="shared" si="4"/>
        <v>4500</v>
      </c>
    </row>
    <row r="19">
      <c r="B19" s="1" t="s">
        <v>15</v>
      </c>
      <c r="C19" s="1" t="s">
        <v>22</v>
      </c>
      <c r="D19" s="1">
        <v>3000.0</v>
      </c>
      <c r="E19" s="2">
        <f t="shared" si="4"/>
        <v>4500</v>
      </c>
    </row>
    <row r="20">
      <c r="B20" s="1" t="s">
        <v>17</v>
      </c>
      <c r="C20" s="1" t="s">
        <v>11</v>
      </c>
      <c r="D20" s="1">
        <v>3000.0</v>
      </c>
      <c r="E20" s="2">
        <f t="shared" si="4"/>
        <v>4500</v>
      </c>
    </row>
    <row r="21">
      <c r="B21" s="1" t="s">
        <v>18</v>
      </c>
      <c r="C21" s="1" t="s">
        <v>22</v>
      </c>
      <c r="D21" s="1">
        <v>3000.0</v>
      </c>
      <c r="E21" s="2">
        <f t="shared" si="4"/>
        <v>4500</v>
      </c>
    </row>
    <row r="22">
      <c r="A22" s="1"/>
      <c r="D22" s="2">
        <f t="shared" ref="D22:E22" si="5">SUM(D17:D21)</f>
        <v>17000</v>
      </c>
      <c r="E22" s="2">
        <f t="shared" si="5"/>
        <v>25500</v>
      </c>
    </row>
    <row r="23">
      <c r="A23" s="1"/>
      <c r="B23" s="1"/>
      <c r="C23" s="1"/>
      <c r="D23" s="1"/>
      <c r="E23" s="1"/>
    </row>
    <row r="24">
      <c r="A24" s="1" t="s">
        <v>23</v>
      </c>
      <c r="B24" s="1" t="s">
        <v>20</v>
      </c>
      <c r="C24" s="1" t="s">
        <v>14</v>
      </c>
      <c r="D24" s="1">
        <v>12000.0</v>
      </c>
      <c r="E24" s="1">
        <v>12000.0</v>
      </c>
    </row>
    <row r="26">
      <c r="C26" s="1" t="s">
        <v>24</v>
      </c>
      <c r="D26" s="2">
        <f t="shared" ref="D26:E26" si="6">SUM(D6,D13,D15,D22,D24)</f>
        <v>47000</v>
      </c>
      <c r="E26" s="2">
        <f t="shared" si="6"/>
        <v>63000</v>
      </c>
    </row>
    <row r="28">
      <c r="A28" s="1" t="s">
        <v>25</v>
      </c>
      <c r="B28" s="2">
        <f>E26-D26</f>
        <v>16000</v>
      </c>
    </row>
    <row r="29">
      <c r="A29" s="1" t="s">
        <v>26</v>
      </c>
      <c r="B29" s="2">
        <f>E26*20/100</f>
        <v>12600</v>
      </c>
    </row>
    <row r="30">
      <c r="A30" s="1" t="s">
        <v>27</v>
      </c>
      <c r="B30" s="2">
        <f>SUM(B28:B29)</f>
        <v>28600</v>
      </c>
    </row>
    <row r="31">
      <c r="A31" s="1" t="s">
        <v>28</v>
      </c>
      <c r="B31" s="2">
        <f>B30-B32</f>
        <v>22880</v>
      </c>
    </row>
    <row r="32">
      <c r="A32" s="1" t="s">
        <v>29</v>
      </c>
      <c r="B32" s="2">
        <f>B30*20/100</f>
        <v>5720</v>
      </c>
    </row>
    <row r="33">
      <c r="A33" s="1" t="s">
        <v>30</v>
      </c>
      <c r="B33" s="2">
        <f>SUM(E26,B29)</f>
        <v>75600</v>
      </c>
    </row>
  </sheetData>
  <drawing r:id="rId1"/>
</worksheet>
</file>