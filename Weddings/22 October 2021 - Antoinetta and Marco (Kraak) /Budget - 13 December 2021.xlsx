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pdated budget - 13 December 20" sheetId="2" r:id="rId5"/>
    <sheet state="visible" name="Copy of Updated budget - 13 Dec" sheetId="3" r:id="rId6"/>
    <sheet state="visible" name="Final Updated budget - 13 Decem" sheetId="4" r:id="rId7"/>
  </sheets>
  <definedNames/>
  <calcPr/>
  <extLst>
    <ext uri="GoogleSheetsCustomDataVersion1">
      <go:sheetsCustomData xmlns:go="http://customooxmlschemas.google.com/" r:id="rId8" roundtripDataSignature="AMtx7mj3kzSMwaPkDr+gmVzsLLjOReQENw=="/>
    </ext>
  </extLst>
</workbook>
</file>

<file path=xl/sharedStrings.xml><?xml version="1.0" encoding="utf-8"?>
<sst xmlns="http://schemas.openxmlformats.org/spreadsheetml/2006/main" count="162" uniqueCount="69">
  <si>
    <t xml:space="preserve">Budget - 27 February 2021 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</si>
  <si>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</si>
  <si>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</si>
  <si>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</si>
  <si>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</si>
  <si>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</si>
  <si>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 xml:space="preserve">Ceremony </t>
  </si>
  <si>
    <t xml:space="preserve">String quintet </t>
  </si>
  <si>
    <t xml:space="preserve">POPS </t>
  </si>
  <si>
    <t xml:space="preserve">Trumpet player </t>
  </si>
  <si>
    <t xml:space="preserve">Organ/Keys </t>
  </si>
  <si>
    <t xml:space="preserve">Soprano </t>
  </si>
  <si>
    <t xml:space="preserve">Louise Howlett </t>
  </si>
  <si>
    <t xml:space="preserve">Tygerberg Children's Choir </t>
  </si>
  <si>
    <t>Pre-drinks</t>
  </si>
  <si>
    <t xml:space="preserve">String quartet </t>
  </si>
  <si>
    <t xml:space="preserve">Rayelle Goodman </t>
  </si>
  <si>
    <t xml:space="preserve">Reception </t>
  </si>
  <si>
    <t xml:space="preserve">Classical ensemble </t>
  </si>
  <si>
    <t xml:space="preserve">POPs - 15 piece ensemble </t>
  </si>
  <si>
    <t xml:space="preserve">Total musician expense </t>
  </si>
  <si>
    <t xml:space="preserve">Travel - Tygerberg Children's Choir </t>
  </si>
  <si>
    <t xml:space="preserve">Coordination </t>
  </si>
  <si>
    <t xml:space="preserve">Total expense </t>
  </si>
  <si>
    <t xml:space="preserve">Built in commission </t>
  </si>
  <si>
    <t xml:space="preserve">Booking fee - 20% 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</si>
  <si>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</si>
  <si>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</si>
  <si>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</si>
  <si>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</si>
  <si>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VAT </t>
  </si>
  <si>
    <t xml:space="preserve">Total including VAT </t>
  </si>
  <si>
    <t xml:space="preserve">String trio </t>
  </si>
  <si>
    <t xml:space="preserve">Violin, harp and guitar trio </t>
  </si>
  <si>
    <t xml:space="preserve">Transition </t>
  </si>
  <si>
    <t>Accordion player</t>
  </si>
  <si>
    <t>Stanislav Angelov</t>
  </si>
  <si>
    <t xml:space="preserve">Saxophone </t>
  </si>
  <si>
    <t xml:space="preserve">Rus Nerwich </t>
  </si>
  <si>
    <t xml:space="preserve">Keys </t>
  </si>
  <si>
    <t xml:space="preserve">Andrew Ford </t>
  </si>
  <si>
    <t xml:space="preserve">Bass </t>
  </si>
  <si>
    <t xml:space="preserve">Nicholas Williams </t>
  </si>
  <si>
    <t xml:space="preserve">Drums </t>
  </si>
  <si>
    <t xml:space="preserve">Kevin Gibson </t>
  </si>
  <si>
    <t xml:space="preserve">Vocals </t>
  </si>
  <si>
    <t xml:space="preserve">Francesca Biancoli </t>
  </si>
  <si>
    <t xml:space="preserve">Party set </t>
  </si>
  <si>
    <t xml:space="preserve">Saxophone / Trumpet </t>
  </si>
  <si>
    <t xml:space="preserve">Jamie Faull </t>
  </si>
  <si>
    <t xml:space="preserve">1st Deposit payment </t>
  </si>
  <si>
    <t xml:space="preserve">Done </t>
  </si>
  <si>
    <t xml:space="preserve">2nd Deposit payment </t>
  </si>
  <si>
    <t xml:space="preserve">3rd Deposit payment </t>
  </si>
  <si>
    <t>Lunch</t>
  </si>
  <si>
    <t xml:space="preserve">Dessert </t>
  </si>
  <si>
    <t xml:space="preserve">DJ </t>
  </si>
  <si>
    <t xml:space="preserve">Budget - 22 October 2021 </t>
  </si>
  <si>
    <t>Payments made</t>
  </si>
  <si>
    <t>Cello, harp and guitar trio + violin</t>
  </si>
  <si>
    <t xml:space="preserve">Pianist </t>
  </si>
  <si>
    <t xml:space="preserve">Balance of payment </t>
  </si>
  <si>
    <t>Booking fee - 20%</t>
  </si>
  <si>
    <t xml:space="preserve">Dani Commission </t>
  </si>
  <si>
    <t xml:space="preserve">Total paid to Dani </t>
  </si>
  <si>
    <t xml:space="preserve">Musician fee paid by Dani </t>
  </si>
  <si>
    <t xml:space="preserve">Balance </t>
  </si>
  <si>
    <t xml:space="preserve">Dani total expense </t>
  </si>
  <si>
    <t xml:space="preserve">Balance due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</si>
</sst>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sz val="11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0" fillId="0" fontId="3" numFmtId="0" xfId="0" applyFont="1"/>
    <xf borderId="4" fillId="0" fontId="4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0" fillId="0" fontId="5" numFmtId="0" xfId="0" applyFont="1"/>
    <xf borderId="1" fillId="0" fontId="6" numFmtId="0" xfId="0" applyAlignment="1" applyBorder="1" applyFont="1">
      <alignment horizontal="left" readingOrder="0"/>
    </xf>
    <xf borderId="0" fillId="0" fontId="6" numFmtId="0" xfId="0" applyFont="1"/>
    <xf borderId="4" fillId="0" fontId="6" numFmtId="0" xfId="0" applyBorder="1" applyFont="1"/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6" numFmtId="0" xfId="0" applyBorder="1" applyFont="1"/>
    <xf borderId="0" fillId="0" fontId="7" numFmtId="0" xfId="0" applyFont="1"/>
    <xf borderId="4" fillId="0" fontId="7" numFmtId="0" xfId="0" applyBorder="1" applyFont="1"/>
    <xf borderId="4" fillId="0" fontId="8" numFmtId="0" xfId="0" applyBorder="1" applyFont="1"/>
    <xf borderId="4" fillId="2" fontId="8" numFmtId="0" xfId="0" applyAlignment="1" applyBorder="1" applyFill="1" applyFont="1">
      <alignment readingOrder="0"/>
    </xf>
    <xf borderId="4" fillId="2" fontId="6" numFmtId="0" xfId="0" applyBorder="1" applyFont="1"/>
    <xf borderId="4" fillId="2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6.13"/>
    <col customWidth="1" min="3" max="3" width="28.38"/>
    <col customWidth="1" min="4" max="4" width="7.63"/>
    <col customWidth="1" min="5" max="5" width="11.0"/>
    <col customWidth="1" min="6" max="26" width="7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4" t="s">
        <v>6</v>
      </c>
      <c r="B3" s="4" t="s">
        <v>7</v>
      </c>
      <c r="C3" s="4" t="s">
        <v>8</v>
      </c>
      <c r="D3" s="4">
        <f>2500*5</f>
        <v>12500</v>
      </c>
      <c r="E3" s="4">
        <f t="shared" ref="E3:E6" si="1">D3*70/100+D3</f>
        <v>21250</v>
      </c>
    </row>
    <row r="4">
      <c r="A4" s="4"/>
      <c r="B4" s="4" t="s">
        <v>9</v>
      </c>
      <c r="C4" s="4" t="s">
        <v>8</v>
      </c>
      <c r="D4" s="4">
        <v>2500.0</v>
      </c>
      <c r="E4" s="4">
        <f t="shared" si="1"/>
        <v>4250</v>
      </c>
    </row>
    <row r="5">
      <c r="A5" s="4"/>
      <c r="B5" s="4" t="s">
        <v>10</v>
      </c>
      <c r="C5" s="4" t="s">
        <v>8</v>
      </c>
      <c r="D5" s="4">
        <v>2500.0</v>
      </c>
      <c r="E5" s="4">
        <f t="shared" si="1"/>
        <v>4250</v>
      </c>
      <c r="F5" s="5">
        <f>SUM(E3:E5)</f>
        <v>29750</v>
      </c>
    </row>
    <row r="6">
      <c r="A6" s="4"/>
      <c r="B6" s="4" t="s">
        <v>11</v>
      </c>
      <c r="C6" s="4" t="s">
        <v>12</v>
      </c>
      <c r="D6" s="4">
        <v>4000.0</v>
      </c>
      <c r="E6" s="4">
        <f t="shared" si="1"/>
        <v>6800</v>
      </c>
    </row>
    <row r="7">
      <c r="A7" s="4"/>
      <c r="B7" s="4"/>
      <c r="C7" s="4" t="s">
        <v>13</v>
      </c>
      <c r="D7" s="4">
        <v>15000.0</v>
      </c>
      <c r="E7" s="4">
        <v>20000.0</v>
      </c>
    </row>
    <row r="8">
      <c r="A8" s="4"/>
      <c r="B8" s="4"/>
      <c r="C8" s="4"/>
      <c r="D8" s="6">
        <f t="shared" ref="D8:E8" si="2">SUM(D3:D7)</f>
        <v>36500</v>
      </c>
      <c r="E8" s="6">
        <f t="shared" si="2"/>
        <v>56550</v>
      </c>
    </row>
    <row r="9">
      <c r="A9" s="4" t="s">
        <v>14</v>
      </c>
      <c r="B9" s="4"/>
      <c r="C9" s="4"/>
      <c r="D9" s="4"/>
      <c r="E9" s="4"/>
    </row>
    <row r="10">
      <c r="A10" s="4"/>
      <c r="B10" s="4" t="s">
        <v>15</v>
      </c>
      <c r="C10" s="4" t="s">
        <v>16</v>
      </c>
      <c r="D10" s="6">
        <v>12000.0</v>
      </c>
      <c r="E10" s="6">
        <v>15000.0</v>
      </c>
    </row>
    <row r="11">
      <c r="A11" s="4" t="s">
        <v>17</v>
      </c>
      <c r="B11" s="4"/>
      <c r="C11" s="4"/>
      <c r="D11" s="4"/>
      <c r="E11" s="4"/>
    </row>
    <row r="12">
      <c r="A12" s="4"/>
      <c r="B12" s="4" t="s">
        <v>18</v>
      </c>
      <c r="C12" s="4" t="s">
        <v>19</v>
      </c>
      <c r="D12" s="6">
        <v>93200.0</v>
      </c>
      <c r="E12" s="6">
        <v>93200.0</v>
      </c>
    </row>
    <row r="13">
      <c r="A13" s="4"/>
      <c r="B13" s="4"/>
      <c r="C13" s="4" t="s">
        <v>20</v>
      </c>
      <c r="D13" s="4">
        <f t="shared" ref="D13:E13" si="3">SUM(D8,D10,D12)</f>
        <v>141700</v>
      </c>
      <c r="E13" s="4">
        <f t="shared" si="3"/>
        <v>164750</v>
      </c>
    </row>
    <row r="14">
      <c r="A14" s="4"/>
      <c r="B14" s="4"/>
      <c r="C14" s="4" t="s">
        <v>21</v>
      </c>
      <c r="D14" s="4">
        <v>5000.0</v>
      </c>
      <c r="E14" s="4">
        <v>5000.0</v>
      </c>
    </row>
    <row r="15">
      <c r="A15" s="4"/>
      <c r="B15" s="4"/>
      <c r="C15" s="4" t="s">
        <v>22</v>
      </c>
      <c r="D15" s="4">
        <v>3000.0</v>
      </c>
      <c r="E15" s="4">
        <v>3000.0</v>
      </c>
    </row>
    <row r="16">
      <c r="A16" s="4"/>
      <c r="B16" s="4"/>
      <c r="C16" s="4" t="s">
        <v>23</v>
      </c>
      <c r="D16" s="4">
        <f t="shared" ref="D16:E16" si="4">SUM(D13:D15)</f>
        <v>149700</v>
      </c>
      <c r="E16" s="4">
        <f t="shared" si="4"/>
        <v>172750</v>
      </c>
    </row>
    <row r="17">
      <c r="A17" s="4"/>
      <c r="B17" s="4"/>
      <c r="C17" s="4"/>
      <c r="D17" s="4"/>
      <c r="E17" s="4"/>
    </row>
    <row r="18">
      <c r="A18" s="4" t="s">
        <v>24</v>
      </c>
      <c r="B18" s="4">
        <f>E16-D16</f>
        <v>23050</v>
      </c>
      <c r="C18" s="4"/>
      <c r="D18" s="4"/>
      <c r="E18" s="4"/>
    </row>
    <row r="19">
      <c r="A19" s="4" t="s">
        <v>25</v>
      </c>
      <c r="B19" s="4">
        <f>E13*20/100</f>
        <v>32950</v>
      </c>
      <c r="C19" s="4"/>
      <c r="D19" s="4"/>
      <c r="E19" s="4"/>
    </row>
    <row r="20">
      <c r="A20" s="4" t="s">
        <v>26</v>
      </c>
      <c r="B20" s="4">
        <f>SUM(B18:B19)</f>
        <v>56000</v>
      </c>
      <c r="C20" s="4"/>
      <c r="D20" s="4"/>
      <c r="E20" s="4"/>
    </row>
    <row r="21" ht="15.75" customHeight="1">
      <c r="A21" s="4" t="s">
        <v>27</v>
      </c>
      <c r="B21" s="4">
        <f>B20*20/100</f>
        <v>11200</v>
      </c>
      <c r="C21" s="4"/>
      <c r="D21" s="4"/>
      <c r="E21" s="4"/>
    </row>
    <row r="22" ht="15.75" customHeight="1">
      <c r="A22" s="4" t="s">
        <v>28</v>
      </c>
      <c r="B22" s="4">
        <f>B20-B21</f>
        <v>44800</v>
      </c>
      <c r="C22" s="4"/>
      <c r="D22" s="4"/>
      <c r="E22" s="4"/>
    </row>
    <row r="23" ht="15.75" customHeight="1">
      <c r="A23" s="4" t="s">
        <v>29</v>
      </c>
      <c r="B23" s="4">
        <f>SUM(E16,B19)</f>
        <v>205700</v>
      </c>
      <c r="C23" s="4"/>
      <c r="D23" s="4"/>
      <c r="E23" s="4"/>
    </row>
    <row r="24" ht="15.75" customHeight="1">
      <c r="A24" s="4" t="s">
        <v>30</v>
      </c>
      <c r="B24" s="4">
        <f>B23*15/100</f>
        <v>30855</v>
      </c>
      <c r="C24" s="4"/>
      <c r="D24" s="4"/>
      <c r="E24" s="4"/>
    </row>
    <row r="25" ht="15.75" customHeight="1">
      <c r="A25" s="4" t="s">
        <v>31</v>
      </c>
      <c r="B25" s="4">
        <f>SUM(B23:B24)</f>
        <v>236555</v>
      </c>
      <c r="C25" s="4"/>
      <c r="D25" s="4"/>
      <c r="E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8.25"/>
    <col customWidth="1" min="3" max="3" width="28.38"/>
    <col customWidth="1" min="4" max="4" width="6.13"/>
    <col customWidth="1" min="5" max="5" width="11.0"/>
    <col customWidth="1" min="6" max="26" width="7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4" t="s">
        <v>6</v>
      </c>
      <c r="B3" s="4" t="s">
        <v>32</v>
      </c>
      <c r="C3" s="4" t="s">
        <v>33</v>
      </c>
      <c r="D3" s="4">
        <f>4000*3</f>
        <v>12000</v>
      </c>
      <c r="E3" s="7">
        <v>16200.0</v>
      </c>
    </row>
    <row r="4">
      <c r="A4" s="4"/>
      <c r="B4" s="4"/>
      <c r="C4" s="4"/>
      <c r="D4" s="6"/>
      <c r="E4" s="6"/>
    </row>
    <row r="5">
      <c r="A5" s="8" t="s">
        <v>34</v>
      </c>
      <c r="B5" s="7" t="s">
        <v>35</v>
      </c>
      <c r="C5" s="7" t="s">
        <v>36</v>
      </c>
      <c r="D5" s="9">
        <v>4500.0</v>
      </c>
      <c r="E5" s="9">
        <v>4500.0</v>
      </c>
    </row>
    <row r="6">
      <c r="B6" s="4"/>
      <c r="C6" s="4"/>
      <c r="D6" s="4"/>
      <c r="E6" s="4"/>
    </row>
    <row r="7">
      <c r="A7" s="4" t="s">
        <v>14</v>
      </c>
      <c r="B7" s="4" t="s">
        <v>37</v>
      </c>
      <c r="C7" s="4" t="s">
        <v>38</v>
      </c>
      <c r="D7" s="9">
        <v>3500.0</v>
      </c>
      <c r="E7" s="9">
        <v>3750.0</v>
      </c>
    </row>
    <row r="8">
      <c r="A8" s="4"/>
      <c r="B8" s="4" t="s">
        <v>39</v>
      </c>
      <c r="C8" s="4" t="s">
        <v>40</v>
      </c>
      <c r="D8" s="9">
        <v>3500.0</v>
      </c>
      <c r="E8" s="9">
        <v>3750.0</v>
      </c>
    </row>
    <row r="9">
      <c r="A9" s="4"/>
      <c r="B9" s="4" t="s">
        <v>41</v>
      </c>
      <c r="C9" s="4" t="s">
        <v>42</v>
      </c>
      <c r="D9" s="9">
        <v>3500.0</v>
      </c>
      <c r="E9" s="9">
        <v>3750.0</v>
      </c>
    </row>
    <row r="10">
      <c r="A10" s="4"/>
      <c r="B10" s="4" t="s">
        <v>43</v>
      </c>
      <c r="C10" s="4" t="s">
        <v>44</v>
      </c>
      <c r="D10" s="9">
        <v>3500.0</v>
      </c>
      <c r="E10" s="9">
        <v>3750.0</v>
      </c>
    </row>
    <row r="11">
      <c r="A11" s="4"/>
      <c r="B11" s="7" t="s">
        <v>45</v>
      </c>
      <c r="C11" s="7" t="s">
        <v>46</v>
      </c>
      <c r="D11" s="9">
        <v>3500.0</v>
      </c>
      <c r="E11" s="9">
        <v>3750.0</v>
      </c>
    </row>
    <row r="12">
      <c r="A12" s="4"/>
      <c r="B12" s="4"/>
      <c r="C12" s="4"/>
      <c r="D12" s="6">
        <f>SUM(D7:D11)</f>
        <v>17500</v>
      </c>
      <c r="E12" s="6">
        <f>SUM(E6:E11)</f>
        <v>18750</v>
      </c>
    </row>
    <row r="13">
      <c r="A13" s="4" t="s">
        <v>17</v>
      </c>
      <c r="B13" s="4"/>
      <c r="C13" s="4"/>
      <c r="D13" s="4"/>
      <c r="E13" s="4"/>
    </row>
    <row r="14">
      <c r="A14" s="4"/>
      <c r="B14" s="4" t="s">
        <v>18</v>
      </c>
      <c r="C14" s="4" t="s">
        <v>19</v>
      </c>
      <c r="D14" s="9">
        <v>75000.0</v>
      </c>
      <c r="E14" s="9">
        <v>93200.0</v>
      </c>
    </row>
    <row r="15">
      <c r="A15" s="4"/>
      <c r="B15" s="4"/>
      <c r="C15" s="4"/>
      <c r="D15" s="6"/>
      <c r="E15" s="6"/>
    </row>
    <row r="16">
      <c r="A16" s="4" t="s">
        <v>47</v>
      </c>
      <c r="B16" s="4" t="s">
        <v>48</v>
      </c>
      <c r="C16" s="7" t="s">
        <v>49</v>
      </c>
      <c r="D16" s="6">
        <v>3000.0</v>
      </c>
      <c r="E16" s="6">
        <v>3750.0</v>
      </c>
    </row>
    <row r="17">
      <c r="A17" s="4"/>
      <c r="B17" s="4"/>
      <c r="C17" s="4"/>
      <c r="D17" s="6"/>
      <c r="E17" s="6"/>
    </row>
    <row r="18">
      <c r="A18" s="4"/>
      <c r="B18" s="4"/>
      <c r="C18" s="4"/>
      <c r="D18" s="6"/>
      <c r="E18" s="6">
        <f>SUM(E16:E17)</f>
        <v>3750</v>
      </c>
    </row>
    <row r="19">
      <c r="A19" s="4"/>
      <c r="B19" s="4"/>
      <c r="C19" s="4"/>
      <c r="D19" s="6"/>
      <c r="E19" s="6"/>
    </row>
    <row r="20">
      <c r="A20" s="4"/>
      <c r="B20" s="4"/>
      <c r="C20" s="4" t="s">
        <v>20</v>
      </c>
      <c r="D20" s="4">
        <f t="shared" ref="D20:E20" si="1">SUM(D3,D5,D12,D14,D16:D17)</f>
        <v>112000</v>
      </c>
      <c r="E20" s="4">
        <f t="shared" si="1"/>
        <v>136400</v>
      </c>
    </row>
    <row r="21">
      <c r="A21" s="4"/>
      <c r="B21" s="4"/>
      <c r="C21" s="4" t="s">
        <v>22</v>
      </c>
      <c r="D21" s="4">
        <v>3000.0</v>
      </c>
      <c r="E21" s="4">
        <v>3000.0</v>
      </c>
    </row>
    <row r="22">
      <c r="A22" s="4"/>
      <c r="B22" s="4"/>
      <c r="C22" s="4" t="s">
        <v>23</v>
      </c>
      <c r="D22" s="4">
        <f t="shared" ref="D22:E22" si="2">SUM(D20:D21)</f>
        <v>115000</v>
      </c>
      <c r="E22" s="4">
        <f t="shared" si="2"/>
        <v>139400</v>
      </c>
    </row>
    <row r="23" ht="15.75" customHeight="1">
      <c r="A23" s="4"/>
      <c r="B23" s="4"/>
      <c r="C23" s="4"/>
      <c r="D23" s="4"/>
      <c r="E23" s="4"/>
    </row>
    <row r="24" ht="15.75" customHeight="1">
      <c r="A24" s="4" t="s">
        <v>24</v>
      </c>
      <c r="B24" s="4">
        <f>E22-D22</f>
        <v>24400</v>
      </c>
      <c r="C24" s="4"/>
      <c r="D24" s="4"/>
      <c r="E24" s="4"/>
    </row>
    <row r="25" ht="15.75" customHeight="1">
      <c r="A25" s="4" t="s">
        <v>25</v>
      </c>
      <c r="B25" s="4">
        <f>E20*20/100</f>
        <v>27280</v>
      </c>
      <c r="C25" s="4"/>
      <c r="D25" s="4"/>
      <c r="E25" s="4"/>
    </row>
    <row r="26" ht="15.75" customHeight="1">
      <c r="A26" s="4" t="s">
        <v>26</v>
      </c>
      <c r="B26" s="4">
        <f>SUM(B24:B25)</f>
        <v>51680</v>
      </c>
      <c r="C26" s="4"/>
      <c r="D26" s="4"/>
      <c r="E26" s="4"/>
    </row>
    <row r="27" ht="15.75" customHeight="1">
      <c r="A27" s="4" t="s">
        <v>27</v>
      </c>
      <c r="B27" s="4">
        <f>B26*20/100</f>
        <v>10336</v>
      </c>
      <c r="C27" s="4"/>
      <c r="D27" s="4"/>
      <c r="E27" s="4"/>
    </row>
    <row r="28" ht="15.75" customHeight="1">
      <c r="A28" s="4" t="s">
        <v>28</v>
      </c>
      <c r="B28" s="4">
        <f>B26-B27</f>
        <v>41344</v>
      </c>
      <c r="C28" s="4"/>
      <c r="D28" s="4"/>
      <c r="E28" s="4"/>
    </row>
    <row r="29" ht="15.75" customHeight="1">
      <c r="A29" s="4" t="s">
        <v>29</v>
      </c>
      <c r="B29" s="4">
        <f>SUM(E22,B25)</f>
        <v>166680</v>
      </c>
      <c r="C29" s="4"/>
      <c r="D29" s="4"/>
      <c r="E29" s="4"/>
    </row>
    <row r="30" ht="15.75" customHeight="1">
      <c r="A30" s="7" t="s">
        <v>50</v>
      </c>
      <c r="B30" s="4">
        <f>B29*20/100</f>
        <v>33336</v>
      </c>
      <c r="C30" s="7" t="s">
        <v>51</v>
      </c>
      <c r="D30" s="4"/>
      <c r="E30" s="4"/>
    </row>
    <row r="31" ht="15.75" customHeight="1">
      <c r="A31" s="7" t="s">
        <v>52</v>
      </c>
      <c r="B31" s="4">
        <f>B29*20/100</f>
        <v>33336</v>
      </c>
      <c r="C31" s="4"/>
      <c r="D31" s="4"/>
      <c r="E31" s="4"/>
    </row>
    <row r="32" ht="15.75" customHeight="1">
      <c r="A32" s="10" t="s">
        <v>53</v>
      </c>
      <c r="B32" s="11">
        <f>B29-SUM(B30:B31)</f>
        <v>100008</v>
      </c>
      <c r="C32" s="11"/>
      <c r="D32" s="11"/>
      <c r="E32" s="1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8.25"/>
    <col customWidth="1" min="3" max="3" width="28.38"/>
    <col customWidth="1" min="4" max="4" width="6.13"/>
    <col customWidth="1" min="5" max="5" width="11.0"/>
    <col customWidth="1" min="6" max="26" width="7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4" t="s">
        <v>6</v>
      </c>
      <c r="B3" s="4" t="s">
        <v>32</v>
      </c>
      <c r="C3" s="4" t="s">
        <v>33</v>
      </c>
      <c r="D3" s="4">
        <f>4000*3</f>
        <v>12000</v>
      </c>
      <c r="E3" s="7">
        <v>16200.0</v>
      </c>
    </row>
    <row r="4">
      <c r="A4" s="4"/>
      <c r="B4" s="4"/>
      <c r="C4" s="4"/>
      <c r="D4" s="6"/>
      <c r="E4" s="6"/>
    </row>
    <row r="5">
      <c r="A5" s="8" t="s">
        <v>34</v>
      </c>
      <c r="B5" s="7" t="s">
        <v>35</v>
      </c>
      <c r="C5" s="7" t="s">
        <v>36</v>
      </c>
      <c r="D5" s="9">
        <v>4500.0</v>
      </c>
      <c r="E5" s="9">
        <v>4500.0</v>
      </c>
    </row>
    <row r="6">
      <c r="B6" s="4"/>
      <c r="C6" s="4"/>
      <c r="D6" s="4"/>
      <c r="E6" s="4"/>
    </row>
    <row r="7">
      <c r="A7" s="7" t="s">
        <v>54</v>
      </c>
      <c r="B7" s="4" t="s">
        <v>37</v>
      </c>
      <c r="C7" s="4" t="s">
        <v>38</v>
      </c>
      <c r="D7" s="9">
        <v>3500.0</v>
      </c>
      <c r="E7" s="9">
        <v>3750.0</v>
      </c>
    </row>
    <row r="8">
      <c r="A8" s="4"/>
      <c r="B8" s="7" t="s">
        <v>45</v>
      </c>
      <c r="C8" s="7" t="s">
        <v>46</v>
      </c>
      <c r="D8" s="9">
        <v>3500.0</v>
      </c>
      <c r="E8" s="9">
        <v>3750.0</v>
      </c>
    </row>
    <row r="9">
      <c r="A9" s="4"/>
      <c r="B9" s="4" t="s">
        <v>39</v>
      </c>
      <c r="C9" s="4" t="s">
        <v>40</v>
      </c>
      <c r="D9" s="9">
        <v>3500.0</v>
      </c>
      <c r="E9" s="9">
        <v>3750.0</v>
      </c>
    </row>
    <row r="10">
      <c r="A10" s="4"/>
      <c r="B10" s="4" t="s">
        <v>41</v>
      </c>
      <c r="C10" s="4" t="s">
        <v>42</v>
      </c>
      <c r="D10" s="9">
        <v>3500.0</v>
      </c>
      <c r="E10" s="9">
        <v>3750.0</v>
      </c>
    </row>
    <row r="11">
      <c r="A11" s="4"/>
      <c r="B11" s="4" t="s">
        <v>43</v>
      </c>
      <c r="C11" s="4" t="s">
        <v>44</v>
      </c>
      <c r="D11" s="9">
        <v>3500.0</v>
      </c>
      <c r="E11" s="9">
        <v>3750.0</v>
      </c>
      <c r="F11" s="12">
        <f>SUM(E9:E11)</f>
        <v>11250</v>
      </c>
    </row>
    <row r="12">
      <c r="A12" s="4"/>
      <c r="B12" s="4"/>
      <c r="C12" s="4"/>
      <c r="D12" s="6">
        <f>SUM(D7:D11)</f>
        <v>17500</v>
      </c>
      <c r="E12" s="6">
        <f>SUM(E6:E11)</f>
        <v>18750</v>
      </c>
    </row>
    <row r="13">
      <c r="A13" s="7"/>
      <c r="B13" s="7"/>
      <c r="C13" s="4"/>
      <c r="D13" s="4"/>
      <c r="E13" s="4"/>
    </row>
    <row r="14">
      <c r="A14" s="7" t="s">
        <v>55</v>
      </c>
      <c r="B14" s="7" t="s">
        <v>56</v>
      </c>
      <c r="C14" s="4"/>
      <c r="D14" s="9">
        <f>2000*2</f>
        <v>4000</v>
      </c>
      <c r="E14" s="9">
        <v>5000.0</v>
      </c>
    </row>
    <row r="15">
      <c r="A15" s="4"/>
      <c r="B15" s="7" t="s">
        <v>37</v>
      </c>
      <c r="C15" s="4"/>
      <c r="D15" s="9">
        <v>3000.0</v>
      </c>
      <c r="E15" s="9">
        <v>3750.0</v>
      </c>
    </row>
    <row r="16">
      <c r="A16" s="4"/>
      <c r="B16" s="4"/>
      <c r="C16" s="4"/>
      <c r="D16" s="6"/>
      <c r="E16" s="6"/>
    </row>
    <row r="17">
      <c r="A17" s="4"/>
      <c r="B17" s="4"/>
      <c r="C17" s="4"/>
      <c r="D17" s="6"/>
      <c r="E17" s="6"/>
    </row>
    <row r="18">
      <c r="A18" s="4"/>
      <c r="B18" s="4"/>
      <c r="C18" s="4" t="s">
        <v>20</v>
      </c>
      <c r="D18" s="4">
        <f t="shared" ref="D18:E18" si="1">SUM(D3,D5,D12)</f>
        <v>34000</v>
      </c>
      <c r="E18" s="4">
        <f t="shared" si="1"/>
        <v>39450</v>
      </c>
    </row>
    <row r="19">
      <c r="A19" s="4"/>
      <c r="B19" s="4"/>
      <c r="C19" s="4" t="s">
        <v>22</v>
      </c>
      <c r="D19" s="4">
        <v>3000.0</v>
      </c>
      <c r="E19" s="4">
        <v>3000.0</v>
      </c>
    </row>
    <row r="20">
      <c r="A20" s="4"/>
      <c r="B20" s="4"/>
      <c r="C20" s="4" t="s">
        <v>23</v>
      </c>
      <c r="D20" s="4">
        <f t="shared" ref="D20:E20" si="2">SUM(D18:D19)</f>
        <v>37000</v>
      </c>
      <c r="E20" s="4">
        <f t="shared" si="2"/>
        <v>42450</v>
      </c>
    </row>
    <row r="21" ht="15.75" customHeight="1">
      <c r="A21" s="4"/>
      <c r="B21" s="4"/>
      <c r="C21" s="4"/>
      <c r="D21" s="4"/>
      <c r="E21" s="4"/>
    </row>
    <row r="22" ht="15.75" customHeight="1">
      <c r="A22" s="4" t="s">
        <v>24</v>
      </c>
      <c r="B22" s="4">
        <f>E20-D20</f>
        <v>5450</v>
      </c>
      <c r="C22" s="4"/>
      <c r="D22" s="4"/>
      <c r="E22" s="4"/>
    </row>
    <row r="23" ht="15.75" customHeight="1">
      <c r="A23" s="4" t="s">
        <v>25</v>
      </c>
      <c r="B23" s="4">
        <f>E18*20/100</f>
        <v>7890</v>
      </c>
      <c r="C23" s="4"/>
      <c r="D23" s="4"/>
      <c r="E23" s="4"/>
    </row>
    <row r="24" ht="15.75" customHeight="1">
      <c r="A24" s="4" t="s">
        <v>26</v>
      </c>
      <c r="B24" s="4">
        <f>SUM(B22:B23)</f>
        <v>13340</v>
      </c>
      <c r="C24" s="4"/>
      <c r="D24" s="4"/>
      <c r="E24" s="4"/>
    </row>
    <row r="25" ht="15.75" customHeight="1">
      <c r="A25" s="4" t="s">
        <v>27</v>
      </c>
      <c r="B25" s="4">
        <f>B24*20/100</f>
        <v>2668</v>
      </c>
      <c r="C25" s="4"/>
      <c r="D25" s="4"/>
      <c r="E25" s="4"/>
    </row>
    <row r="26" ht="15.75" customHeight="1">
      <c r="A26" s="4" t="s">
        <v>28</v>
      </c>
      <c r="B26" s="4">
        <f>B24-B25</f>
        <v>10672</v>
      </c>
      <c r="C26" s="4"/>
      <c r="D26" s="4"/>
      <c r="E26" s="4"/>
    </row>
    <row r="27" ht="15.75" customHeight="1">
      <c r="A27" s="4" t="s">
        <v>29</v>
      </c>
      <c r="B27" s="4">
        <f>SUM(E20,B23)</f>
        <v>50340</v>
      </c>
      <c r="C27" s="4"/>
      <c r="D27" s="4"/>
      <c r="E27" s="4"/>
    </row>
    <row r="28" ht="15.75" customHeight="1">
      <c r="A28" s="7" t="s">
        <v>50</v>
      </c>
      <c r="B28" s="7">
        <v>33336.0</v>
      </c>
      <c r="C28" s="7" t="s">
        <v>51</v>
      </c>
      <c r="D28" s="4"/>
      <c r="E28" s="4"/>
    </row>
    <row r="29" ht="15.75" customHeight="1">
      <c r="A29" s="7"/>
      <c r="B29" s="7"/>
      <c r="C29" s="4"/>
      <c r="D29" s="4"/>
      <c r="E29" s="4"/>
    </row>
    <row r="30" ht="15.75" customHeight="1">
      <c r="A30" s="10"/>
      <c r="B30" s="11"/>
      <c r="C30" s="11"/>
      <c r="D30" s="11"/>
      <c r="E30" s="1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2.38"/>
    <col customWidth="1" min="3" max="3" width="23.5"/>
    <col customWidth="1" min="4" max="4" width="6.13"/>
    <col customWidth="1" min="5" max="5" width="11.75"/>
    <col customWidth="1" min="6" max="6" width="11.0"/>
    <col customWidth="1" min="7" max="27" width="7.63"/>
  </cols>
  <sheetData>
    <row r="1">
      <c r="A1" s="13" t="s">
        <v>57</v>
      </c>
      <c r="B1" s="2"/>
      <c r="C1" s="2"/>
      <c r="D1" s="2"/>
      <c r="E1" s="2"/>
      <c r="F1" s="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5" t="s">
        <v>1</v>
      </c>
      <c r="B2" s="15" t="s">
        <v>2</v>
      </c>
      <c r="C2" s="15" t="s">
        <v>3</v>
      </c>
      <c r="D2" s="15" t="s">
        <v>4</v>
      </c>
      <c r="E2" s="16" t="s">
        <v>58</v>
      </c>
      <c r="F2" s="15" t="s">
        <v>5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5" t="s">
        <v>6</v>
      </c>
      <c r="B3" s="16" t="s">
        <v>15</v>
      </c>
      <c r="C3" s="16" t="s">
        <v>59</v>
      </c>
      <c r="D3" s="16">
        <v>16000.0</v>
      </c>
      <c r="E3" s="15">
        <f>2000*3</f>
        <v>6000</v>
      </c>
      <c r="F3" s="16">
        <v>20000.0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6"/>
      <c r="B4" s="16"/>
      <c r="C4" s="16"/>
      <c r="D4" s="17"/>
      <c r="E4" s="17"/>
      <c r="F4" s="17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6" t="s">
        <v>34</v>
      </c>
      <c r="B5" s="16" t="s">
        <v>35</v>
      </c>
      <c r="C5" s="16" t="s">
        <v>36</v>
      </c>
      <c r="D5" s="17">
        <v>4500.0</v>
      </c>
      <c r="E5" s="17">
        <v>0.0</v>
      </c>
      <c r="F5" s="17">
        <v>4500.0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8"/>
      <c r="B6" s="15"/>
      <c r="C6" s="15"/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6" t="s">
        <v>54</v>
      </c>
      <c r="B7" s="15" t="s">
        <v>37</v>
      </c>
      <c r="C7" s="15" t="s">
        <v>38</v>
      </c>
      <c r="D7" s="17">
        <v>4000.0</v>
      </c>
      <c r="E7" s="17">
        <v>0.0</v>
      </c>
      <c r="F7" s="17">
        <v>4500.0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5"/>
      <c r="B8" s="16" t="s">
        <v>45</v>
      </c>
      <c r="C8" s="16" t="s">
        <v>46</v>
      </c>
      <c r="D8" s="17">
        <v>4000.0</v>
      </c>
      <c r="E8" s="17">
        <v>0.0</v>
      </c>
      <c r="F8" s="17">
        <v>4000.0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5"/>
      <c r="B9" s="15" t="s">
        <v>39</v>
      </c>
      <c r="C9" s="15" t="s">
        <v>40</v>
      </c>
      <c r="D9" s="17">
        <v>4000.0</v>
      </c>
      <c r="E9" s="17">
        <v>0.0</v>
      </c>
      <c r="F9" s="17">
        <v>4500.0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5"/>
      <c r="B10" s="15" t="s">
        <v>41</v>
      </c>
      <c r="C10" s="15" t="s">
        <v>42</v>
      </c>
      <c r="D10" s="17">
        <v>4000.0</v>
      </c>
      <c r="E10" s="17">
        <v>0.0</v>
      </c>
      <c r="F10" s="17">
        <v>4500.0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5"/>
      <c r="B11" s="15" t="s">
        <v>43</v>
      </c>
      <c r="C11" s="15" t="s">
        <v>44</v>
      </c>
      <c r="D11" s="17">
        <v>4000.0</v>
      </c>
      <c r="E11" s="17">
        <v>0.0</v>
      </c>
      <c r="F11" s="17">
        <v>4500.0</v>
      </c>
      <c r="G11" s="19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5"/>
      <c r="B12" s="15"/>
      <c r="C12" s="15"/>
      <c r="D12" s="20"/>
      <c r="E12" s="17"/>
      <c r="F12" s="2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6" t="s">
        <v>55</v>
      </c>
      <c r="B13" s="16" t="s">
        <v>60</v>
      </c>
      <c r="C13" s="18"/>
      <c r="D13" s="16">
        <v>2000.0</v>
      </c>
      <c r="E13" s="16">
        <v>0.0</v>
      </c>
      <c r="F13" s="16">
        <v>2500.0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5"/>
      <c r="B14" s="16"/>
      <c r="C14" s="15"/>
      <c r="D14" s="17"/>
      <c r="E14" s="17"/>
      <c r="F14" s="1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5"/>
      <c r="B15" s="16" t="s">
        <v>56</v>
      </c>
      <c r="C15" s="15"/>
      <c r="D15" s="17">
        <v>4500.0</v>
      </c>
      <c r="E15" s="17"/>
      <c r="F15" s="17">
        <v>4500.0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5"/>
      <c r="B16" s="16" t="s">
        <v>37</v>
      </c>
      <c r="C16" s="15"/>
      <c r="D16" s="17">
        <v>3000.0</v>
      </c>
      <c r="E16" s="17"/>
      <c r="F16" s="17">
        <v>3000.0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5"/>
      <c r="B17" s="15"/>
      <c r="C17" s="15"/>
      <c r="D17" s="20"/>
      <c r="E17" s="20"/>
      <c r="F17" s="20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5"/>
      <c r="B18" s="15"/>
      <c r="C18" s="15" t="s">
        <v>20</v>
      </c>
      <c r="D18" s="15">
        <f>SUM(D3,D5,D7:D11,D13,D15:D16)</f>
        <v>50000</v>
      </c>
      <c r="E18" s="15"/>
      <c r="F18" s="15">
        <f>SUM(F3,F5,F7,F8,F9,F10,F11,F13,F15:F16)</f>
        <v>56500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5"/>
      <c r="B19" s="15"/>
      <c r="C19" s="15" t="s">
        <v>22</v>
      </c>
      <c r="D19" s="15">
        <v>3000.0</v>
      </c>
      <c r="E19" s="15"/>
      <c r="F19" s="15">
        <v>3000.0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5"/>
      <c r="B20" s="15"/>
      <c r="C20" s="15" t="s">
        <v>23</v>
      </c>
      <c r="D20" s="15">
        <f>SUM(D18:D19)</f>
        <v>53000</v>
      </c>
      <c r="E20" s="15"/>
      <c r="F20" s="15">
        <f>SUM(F18:F19)</f>
        <v>59500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5.75" customHeight="1">
      <c r="A21" s="15"/>
      <c r="B21" s="15"/>
      <c r="C21" s="15"/>
      <c r="D21" s="15">
        <f>SUM(D15:D16,D7)</f>
        <v>11500</v>
      </c>
      <c r="E21" s="15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5.75" customHeight="1">
      <c r="A22" s="15" t="s">
        <v>24</v>
      </c>
      <c r="B22" s="15">
        <f>F20-D20</f>
        <v>6500</v>
      </c>
      <c r="C22" s="15"/>
      <c r="D22" s="15"/>
      <c r="E22" s="15"/>
      <c r="F22" s="1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15" t="s">
        <v>25</v>
      </c>
      <c r="B23" s="15">
        <f>F18*20/100</f>
        <v>11300</v>
      </c>
      <c r="C23" s="15"/>
      <c r="D23" s="15"/>
      <c r="E23" s="15"/>
      <c r="F23" s="15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15" t="s">
        <v>26</v>
      </c>
      <c r="B24" s="15">
        <f>SUM(B22:B23)</f>
        <v>17800</v>
      </c>
      <c r="C24" s="15"/>
      <c r="D24" s="15"/>
      <c r="E24" s="15"/>
      <c r="F24" s="15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>
      <c r="A25" s="15" t="s">
        <v>27</v>
      </c>
      <c r="B25" s="15">
        <f>B24*20/100</f>
        <v>3560</v>
      </c>
      <c r="C25" s="15"/>
      <c r="D25" s="15"/>
      <c r="E25" s="15"/>
      <c r="F25" s="15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15" t="s">
        <v>28</v>
      </c>
      <c r="B26" s="15">
        <f>B24-B25</f>
        <v>14240</v>
      </c>
      <c r="C26" s="15"/>
      <c r="D26" s="15"/>
      <c r="E26" s="15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>
      <c r="A27" s="15" t="s">
        <v>29</v>
      </c>
      <c r="B27" s="15">
        <f>SUM(F20,B23)</f>
        <v>70800</v>
      </c>
      <c r="C27" s="15"/>
      <c r="D27" s="15"/>
      <c r="E27" s="15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>
      <c r="A28" s="16" t="s">
        <v>50</v>
      </c>
      <c r="B28" s="16">
        <v>33336.0</v>
      </c>
      <c r="C28" s="16"/>
      <c r="D28" s="15"/>
      <c r="E28" s="15"/>
      <c r="F28" s="1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>
      <c r="A29" s="16" t="s">
        <v>61</v>
      </c>
      <c r="B29" s="16">
        <f>B27-B28</f>
        <v>37464</v>
      </c>
      <c r="C29" s="16"/>
      <c r="D29" s="15"/>
      <c r="E29" s="15"/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16"/>
      <c r="B30" s="18"/>
      <c r="C30" s="16"/>
      <c r="D30" s="18"/>
      <c r="E30" s="18"/>
      <c r="F30" s="18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16" t="s">
        <v>24</v>
      </c>
      <c r="B31" s="18">
        <f>F20-D20</f>
        <v>6500</v>
      </c>
      <c r="C31" s="18"/>
      <c r="D31" s="18"/>
      <c r="E31" s="18"/>
      <c r="F31" s="18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>
      <c r="A32" s="16" t="s">
        <v>62</v>
      </c>
      <c r="B32" s="18">
        <f>F18*20/100</f>
        <v>11300</v>
      </c>
      <c r="C32" s="18"/>
      <c r="D32" s="18"/>
      <c r="E32" s="18"/>
      <c r="F32" s="18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>
      <c r="A33" s="16" t="s">
        <v>26</v>
      </c>
      <c r="B33" s="18">
        <f>SUM(B31:B32)</f>
        <v>17800</v>
      </c>
      <c r="C33" s="18"/>
      <c r="D33" s="18"/>
      <c r="E33" s="18"/>
      <c r="F33" s="18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>
      <c r="A34" s="16" t="s">
        <v>28</v>
      </c>
      <c r="B34" s="18">
        <f>B33-B35</f>
        <v>14240</v>
      </c>
      <c r="C34" s="18"/>
      <c r="D34" s="21"/>
      <c r="E34" s="18"/>
      <c r="F34" s="18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>
      <c r="A35" s="16" t="s">
        <v>63</v>
      </c>
      <c r="B35" s="18">
        <f>B33*20/100</f>
        <v>3560</v>
      </c>
      <c r="C35" s="18"/>
      <c r="D35" s="18"/>
      <c r="E35" s="18"/>
      <c r="F35" s="18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>
      <c r="A36" s="22" t="s">
        <v>64</v>
      </c>
      <c r="B36" s="23">
        <f>SUM(6260,3000)</f>
        <v>9260</v>
      </c>
      <c r="C36" s="24"/>
      <c r="D36" s="24"/>
      <c r="E36" s="24"/>
      <c r="F36" s="2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>
      <c r="A37" s="22" t="s">
        <v>65</v>
      </c>
      <c r="B37" s="23">
        <f>4000</f>
        <v>4000</v>
      </c>
      <c r="C37" s="24"/>
      <c r="D37" s="24"/>
      <c r="E37" s="24"/>
      <c r="F37" s="2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>
      <c r="A38" s="22" t="s">
        <v>66</v>
      </c>
      <c r="B38" s="23">
        <f>B36-B37</f>
        <v>5260</v>
      </c>
      <c r="C38" s="24"/>
      <c r="D38" s="24"/>
      <c r="E38" s="24"/>
      <c r="F38" s="2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5.75" customHeight="1">
      <c r="A39" s="22" t="s">
        <v>67</v>
      </c>
      <c r="B39" s="23">
        <f>SUM(B35,3000)</f>
        <v>6560</v>
      </c>
      <c r="C39" s="24"/>
      <c r="D39" s="24"/>
      <c r="E39" s="24"/>
      <c r="F39" s="2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22" t="s">
        <v>68</v>
      </c>
      <c r="B40" s="23">
        <f>B39-B38</f>
        <v>1300</v>
      </c>
      <c r="C40" s="24"/>
      <c r="D40" s="24"/>
      <c r="E40" s="24"/>
      <c r="F40" s="2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2020-09-14T14:02:30Z</dcterms:created>
  <dc:creator>Daniela Marano</dc:creator>
</cp:coreProperties>
</file>