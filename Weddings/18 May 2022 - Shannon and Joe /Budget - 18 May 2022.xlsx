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<sst xmlns="http://schemas.openxmlformats.org/spreadsheetml/2006/main" count="29" uniqueCount="27">
  <si>
    <t>Budget - 18 February 2022</t>
  </si>
  <si>
    <t xml:space="preserve">Set </t>
  </si>
  <si>
    <t xml:space="preserve">Musician Type </t>
  </si>
  <si>
    <t xml:space="preserve">Musician Name </t>
  </si>
  <si>
    <t>Rate</t>
  </si>
  <si>
    <t xml:space="preserve"> Quoted Rate </t>
  </si>
  <si>
    <t>Ceremony: Option One</t>
  </si>
  <si>
    <t xml:space="preserve">Tracks played through PA </t>
  </si>
  <si>
    <t>N/A</t>
  </si>
  <si>
    <t xml:space="preserve">Pre-drinks: Option One </t>
  </si>
  <si>
    <t xml:space="preserve">Solo Guitar + vocals </t>
  </si>
  <si>
    <t xml:space="preserve">Ethan Florus </t>
  </si>
  <si>
    <t xml:space="preserve">Dinner </t>
  </si>
  <si>
    <t xml:space="preserve">DJ </t>
  </si>
  <si>
    <t xml:space="preserve">Rus Nerwich </t>
  </si>
  <si>
    <t xml:space="preserve">Saxophone </t>
  </si>
  <si>
    <t xml:space="preserve">TBC </t>
  </si>
  <si>
    <t xml:space="preserve">Party: </t>
  </si>
  <si>
    <t xml:space="preserve">Musician expense </t>
  </si>
  <si>
    <t xml:space="preserve">Musical coordination </t>
  </si>
  <si>
    <t xml:space="preserve">Total expense </t>
  </si>
  <si>
    <t xml:space="preserve">Built in commission </t>
  </si>
  <si>
    <t xml:space="preserve">Booking fee - 20% </t>
  </si>
  <si>
    <t xml:space="preserve">Total commission </t>
  </si>
  <si>
    <t xml:space="preserve">Dani commission </t>
  </si>
  <si>
    <t xml:space="preserve">TON commission </t>
  </si>
  <si>
    <t xml:space="preserve">Total excluding VAT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</si>
</sst>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5.63"/>
    <col customWidth="1" min="3" max="3" width="16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3" t="s">
        <v>7</v>
      </c>
      <c r="C3" s="3" t="s">
        <v>8</v>
      </c>
      <c r="D3" s="4">
        <v>0.0</v>
      </c>
      <c r="E3" s="4">
        <v>0.0</v>
      </c>
    </row>
    <row r="4">
      <c r="A4" s="2"/>
      <c r="B4" s="2"/>
      <c r="C4" s="3"/>
      <c r="D4" s="4"/>
      <c r="E4" s="4"/>
    </row>
    <row r="5">
      <c r="A5" s="2"/>
      <c r="B5" s="2"/>
      <c r="C5" s="2"/>
      <c r="D5" s="5"/>
      <c r="E5" s="5"/>
    </row>
    <row r="6">
      <c r="A6" s="3" t="s">
        <v>9</v>
      </c>
      <c r="B6" s="3" t="s">
        <v>10</v>
      </c>
      <c r="C6" s="3" t="s">
        <v>11</v>
      </c>
      <c r="D6" s="4">
        <v>4000.0</v>
      </c>
      <c r="E6" s="4">
        <f>D6*50/100+D6</f>
        <v>6000</v>
      </c>
    </row>
    <row r="7">
      <c r="A7" s="2"/>
      <c r="B7" s="2"/>
      <c r="C7" s="2"/>
      <c r="D7" s="4"/>
      <c r="E7" s="4"/>
    </row>
    <row r="8">
      <c r="A8" s="2"/>
      <c r="B8" s="2"/>
      <c r="C8" s="2"/>
      <c r="D8" s="5"/>
      <c r="E8" s="5"/>
    </row>
    <row r="9">
      <c r="A9" s="2" t="s">
        <v>12</v>
      </c>
      <c r="B9" s="2" t="s">
        <v>13</v>
      </c>
      <c r="C9" s="2" t="s">
        <v>14</v>
      </c>
      <c r="D9" s="5">
        <v>3000.0</v>
      </c>
      <c r="E9" s="5">
        <f t="shared" ref="E9:E10" si="1">D9*50/100+D9</f>
        <v>4500</v>
      </c>
    </row>
    <row r="10">
      <c r="A10" s="2"/>
      <c r="B10" s="3" t="s">
        <v>15</v>
      </c>
      <c r="C10" s="3" t="s">
        <v>16</v>
      </c>
      <c r="D10" s="3">
        <v>3000.0</v>
      </c>
      <c r="E10" s="5">
        <f t="shared" si="1"/>
        <v>4500</v>
      </c>
    </row>
    <row r="11">
      <c r="A11" s="2"/>
      <c r="B11" s="2"/>
      <c r="C11" s="2"/>
      <c r="D11" s="4"/>
      <c r="E11" s="4"/>
    </row>
    <row r="12">
      <c r="A12" s="2" t="s">
        <v>17</v>
      </c>
      <c r="B12" s="2" t="s">
        <v>13</v>
      </c>
      <c r="C12" s="2" t="s">
        <v>16</v>
      </c>
      <c r="D12" s="4">
        <v>15000.0</v>
      </c>
      <c r="E12" s="4">
        <v>15000.0</v>
      </c>
    </row>
    <row r="13">
      <c r="A13" s="2"/>
      <c r="B13" s="3"/>
      <c r="C13" s="3"/>
      <c r="D13" s="3"/>
      <c r="E13" s="5"/>
    </row>
    <row r="14">
      <c r="A14" s="6"/>
      <c r="B14" s="7"/>
      <c r="C14" s="7"/>
      <c r="D14" s="7"/>
      <c r="E14" s="5"/>
    </row>
    <row r="15">
      <c r="A15" s="2"/>
      <c r="B15" s="2"/>
      <c r="C15" s="2"/>
      <c r="D15" s="2"/>
      <c r="E15" s="2"/>
    </row>
    <row r="16">
      <c r="A16" s="2"/>
      <c r="B16" s="2"/>
      <c r="C16" s="2" t="s">
        <v>18</v>
      </c>
      <c r="D16" s="5">
        <f t="shared" ref="D16:E16" si="2">SUM(D3,D6,D9,D10,D12)</f>
        <v>25000</v>
      </c>
      <c r="E16" s="5">
        <f t="shared" si="2"/>
        <v>30000</v>
      </c>
    </row>
    <row r="17">
      <c r="A17" s="2"/>
      <c r="B17" s="2"/>
      <c r="C17" s="2" t="s">
        <v>19</v>
      </c>
      <c r="D17" s="5">
        <v>3000.0</v>
      </c>
      <c r="E17" s="5">
        <v>3000.0</v>
      </c>
    </row>
    <row r="18">
      <c r="A18" s="2"/>
      <c r="B18" s="2"/>
      <c r="C18" s="2" t="s">
        <v>20</v>
      </c>
      <c r="D18" s="5">
        <f t="shared" ref="D18:E18" si="3">SUM(D16:D17)</f>
        <v>28000</v>
      </c>
      <c r="E18" s="5">
        <f t="shared" si="3"/>
        <v>33000</v>
      </c>
    </row>
    <row r="19">
      <c r="A19" s="2" t="s">
        <v>21</v>
      </c>
      <c r="B19" s="5">
        <f>E18-D18</f>
        <v>5000</v>
      </c>
      <c r="C19" s="2"/>
      <c r="D19" s="2"/>
      <c r="E19" s="2"/>
    </row>
    <row r="20">
      <c r="A20" s="2" t="s">
        <v>22</v>
      </c>
      <c r="B20" s="5">
        <f>E16*20/100</f>
        <v>6000</v>
      </c>
      <c r="C20" s="2"/>
      <c r="D20" s="2"/>
      <c r="E20" s="2"/>
    </row>
    <row r="21">
      <c r="A21" s="3" t="s">
        <v>23</v>
      </c>
      <c r="B21" s="5">
        <f>SUM(B19:B20)</f>
        <v>11000</v>
      </c>
      <c r="C21" s="2"/>
      <c r="D21" s="2"/>
      <c r="E21" s="2"/>
    </row>
    <row r="22">
      <c r="A22" s="2" t="s">
        <v>24</v>
      </c>
      <c r="B22" s="5">
        <f>B21/2</f>
        <v>5500</v>
      </c>
      <c r="C22" s="2"/>
      <c r="D22" s="2"/>
      <c r="E22" s="2"/>
    </row>
    <row r="23">
      <c r="A23" s="2" t="s">
        <v>25</v>
      </c>
      <c r="B23" s="5">
        <f>B21/2</f>
        <v>5500</v>
      </c>
      <c r="C23" s="2"/>
      <c r="D23" s="2"/>
      <c r="E23" s="2"/>
    </row>
    <row r="24">
      <c r="A24" s="2" t="s">
        <v>26</v>
      </c>
      <c r="B24" s="5">
        <f>SUM(E18,B20)</f>
        <v>39000</v>
      </c>
      <c r="C24" s="2"/>
      <c r="D24" s="2"/>
      <c r="E24" s="2"/>
    </row>
  </sheetData>
  <drawing r:id="rId1"/>
</worksheet>
</file>