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<sst xmlns="http://schemas.openxmlformats.org/spreadsheetml/2006/main" count="39" uniqueCount="28">
  <si>
    <t xml:space="preserve">Budget - 12 November 2021 </t>
  </si>
  <si>
    <t>Set</t>
  </si>
  <si>
    <t xml:space="preserve">Musician Type </t>
  </si>
  <si>
    <t xml:space="preserve">Musican Name </t>
  </si>
  <si>
    <t xml:space="preserve">Rate </t>
  </si>
  <si>
    <t>Quoted Rate</t>
  </si>
  <si>
    <t xml:space="preserve">Ceremony </t>
  </si>
  <si>
    <t xml:space="preserve">Tracks played through PA </t>
  </si>
  <si>
    <t>Pre-drinks</t>
  </si>
  <si>
    <t xml:space="preserve">DJ </t>
  </si>
  <si>
    <t xml:space="preserve">Rus Nerwich </t>
  </si>
  <si>
    <t>Saxophone</t>
  </si>
  <si>
    <t xml:space="preserve">Dinner </t>
  </si>
  <si>
    <t xml:space="preserve">Party </t>
  </si>
  <si>
    <t>DJ</t>
  </si>
  <si>
    <t>Rus Nerwich</t>
  </si>
  <si>
    <t>Total musician expense</t>
  </si>
  <si>
    <t xml:space="preserve">VAT </t>
  </si>
  <si>
    <t>Total including VAT</t>
  </si>
  <si>
    <t xml:space="preserve">Live band </t>
  </si>
  <si>
    <t xml:space="preserve">Vocals </t>
  </si>
  <si>
    <t>Keeno Lee Hector</t>
  </si>
  <si>
    <t xml:space="preserve">Keys/Guitar </t>
  </si>
  <si>
    <t xml:space="preserve">Andrew Ford/Angelo Syster </t>
  </si>
  <si>
    <t xml:space="preserve">Bass </t>
  </si>
  <si>
    <t xml:space="preserve">Nicholas Williams </t>
  </si>
  <si>
    <t xml:space="preserve">Drums </t>
  </si>
  <si>
    <t xml:space="preserve">Kevin Gibson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</si>
</sst>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</cols>
  <sheetData>
    <row r="1">
      <c r="A1" s="1" t="s">
        <v>0</v>
      </c>
      <c r="B1" s="2"/>
      <c r="C1" s="2"/>
      <c r="D1" s="2"/>
      <c r="E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2"/>
      <c r="D3" s="2"/>
      <c r="E3" s="2"/>
    </row>
    <row r="4">
      <c r="A4" s="1" t="s">
        <v>8</v>
      </c>
      <c r="B4" s="1" t="s">
        <v>9</v>
      </c>
      <c r="C4" s="1" t="s">
        <v>10</v>
      </c>
      <c r="D4" s="1">
        <f>2000*2</f>
        <v>4000</v>
      </c>
      <c r="E4" s="1">
        <f>D4*25/100+D4</f>
        <v>5000</v>
      </c>
    </row>
    <row r="5">
      <c r="A5" s="1"/>
      <c r="B5" s="1" t="s">
        <v>11</v>
      </c>
      <c r="C5" s="1" t="s">
        <v>10</v>
      </c>
      <c r="D5" s="1">
        <v>2500.0</v>
      </c>
      <c r="E5" s="1">
        <v>3000.0</v>
      </c>
    </row>
    <row r="6">
      <c r="A6" s="1" t="s">
        <v>12</v>
      </c>
      <c r="B6" s="1" t="s">
        <v>9</v>
      </c>
      <c r="C6" s="1" t="s">
        <v>10</v>
      </c>
      <c r="D6" s="1">
        <v>2500.0</v>
      </c>
      <c r="E6" s="1">
        <v>3000.0</v>
      </c>
    </row>
    <row r="7">
      <c r="A7" s="1" t="s">
        <v>13</v>
      </c>
      <c r="B7" s="1" t="s">
        <v>14</v>
      </c>
      <c r="C7" s="1" t="s">
        <v>15</v>
      </c>
      <c r="D7" s="1">
        <f>2000*2</f>
        <v>4000</v>
      </c>
      <c r="E7" s="1">
        <f>D7*25/100+D7</f>
        <v>5000</v>
      </c>
    </row>
    <row r="8">
      <c r="A8" s="2"/>
      <c r="B8" s="2"/>
      <c r="C8" s="1" t="s">
        <v>16</v>
      </c>
      <c r="D8" s="2">
        <f t="shared" ref="D8:E8" si="1">SUM(D4:D7)</f>
        <v>13000</v>
      </c>
      <c r="E8" s="1">
        <f t="shared" si="1"/>
        <v>16000</v>
      </c>
    </row>
    <row r="9">
      <c r="A9" s="2"/>
      <c r="B9" s="2"/>
      <c r="C9" s="1" t="s">
        <v>17</v>
      </c>
      <c r="D9" s="2"/>
      <c r="E9" s="2">
        <f>E8*15/100</f>
        <v>2400</v>
      </c>
    </row>
    <row r="10">
      <c r="A10" s="2"/>
      <c r="B10" s="2"/>
      <c r="C10" s="1" t="s">
        <v>18</v>
      </c>
      <c r="D10" s="2"/>
      <c r="E10" s="2">
        <f>SUM(E8:E9)</f>
        <v>18400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 t="s">
        <v>19</v>
      </c>
      <c r="B2" s="1" t="s">
        <v>20</v>
      </c>
      <c r="C2" s="1" t="s">
        <v>21</v>
      </c>
      <c r="D2" s="1">
        <v>4000.0</v>
      </c>
      <c r="E2" s="1">
        <v>5000.0</v>
      </c>
    </row>
    <row r="3">
      <c r="A3" s="1"/>
      <c r="B3" s="1" t="s">
        <v>22</v>
      </c>
      <c r="C3" s="1" t="s">
        <v>23</v>
      </c>
      <c r="D3" s="1">
        <v>4000.0</v>
      </c>
      <c r="E3" s="1">
        <v>5000.0</v>
      </c>
    </row>
    <row r="4">
      <c r="A4" s="1"/>
      <c r="B4" s="1" t="s">
        <v>24</v>
      </c>
      <c r="C4" s="1" t="s">
        <v>25</v>
      </c>
      <c r="D4" s="1">
        <v>4000.0</v>
      </c>
      <c r="E4" s="1">
        <v>5000.0</v>
      </c>
    </row>
    <row r="5">
      <c r="A5" s="1"/>
      <c r="B5" s="1" t="s">
        <v>26</v>
      </c>
      <c r="C5" s="1" t="s">
        <v>27</v>
      </c>
      <c r="D5" s="1">
        <v>4000.0</v>
      </c>
      <c r="E5" s="1">
        <v>5000.0</v>
      </c>
    </row>
    <row r="6">
      <c r="A6" s="2"/>
      <c r="B6" s="2"/>
      <c r="C6" s="1" t="s">
        <v>16</v>
      </c>
      <c r="D6" s="2">
        <f t="shared" ref="D6:E6" si="1">SUM(D2:D5)</f>
        <v>16000</v>
      </c>
      <c r="E6" s="1">
        <f t="shared" si="1"/>
        <v>20000</v>
      </c>
    </row>
    <row r="7">
      <c r="A7" s="2"/>
      <c r="B7" s="2"/>
      <c r="C7" s="1" t="s">
        <v>17</v>
      </c>
      <c r="D7" s="2"/>
      <c r="E7" s="2">
        <f>E6*15/100</f>
        <v>3000</v>
      </c>
    </row>
    <row r="8">
      <c r="A8" s="2"/>
      <c r="B8" s="2"/>
      <c r="C8" s="1" t="s">
        <v>18</v>
      </c>
      <c r="D8" s="2"/>
      <c r="E8" s="2">
        <f>SUM(E6:E7)</f>
        <v>23000</v>
      </c>
    </row>
  </sheetData>
  <drawing r:id="rId1"/>
</worksheet>
</file>