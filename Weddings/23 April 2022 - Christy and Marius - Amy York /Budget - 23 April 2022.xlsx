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  <sheet state="visible" name="Sheet2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<sst xmlns="http://schemas.openxmlformats.org/spreadsheetml/2006/main" count="137" uniqueCount="45">
  <si>
    <t>Set</t>
  </si>
  <si>
    <t>Musician Type</t>
  </si>
  <si>
    <t>Musician Name</t>
  </si>
  <si>
    <t>Rate</t>
  </si>
  <si>
    <t>Quoted Rate</t>
  </si>
  <si>
    <t>Ceremony</t>
  </si>
  <si>
    <t xml:space="preserve">String quartet </t>
  </si>
  <si>
    <t xml:space="preserve">Palm Springs </t>
  </si>
  <si>
    <t>Solo vocals + guitar</t>
  </si>
  <si>
    <t>Ethan Florus</t>
  </si>
  <si>
    <t>Pre-drinks</t>
  </si>
  <si>
    <t>Vocals</t>
  </si>
  <si>
    <t>Bass</t>
  </si>
  <si>
    <t>Nicholas Williams</t>
  </si>
  <si>
    <t>Drums</t>
  </si>
  <si>
    <t>Kevin Gibson</t>
  </si>
  <si>
    <t>Dinner</t>
  </si>
  <si>
    <t xml:space="preserve">Cello </t>
  </si>
  <si>
    <t xml:space="preserve">Dorette </t>
  </si>
  <si>
    <t>N/A</t>
  </si>
  <si>
    <t>Dinner, Dance and Party</t>
  </si>
  <si>
    <t xml:space="preserve">DJ </t>
  </si>
  <si>
    <t xml:space="preserve">Colin Sher </t>
  </si>
  <si>
    <t>Total musician expense</t>
  </si>
  <si>
    <t>Coordination</t>
  </si>
  <si>
    <t>Total expense</t>
  </si>
  <si>
    <t>Built in commission</t>
  </si>
  <si>
    <t>Booking fee - 20%</t>
  </si>
  <si>
    <t>Total commission</t>
  </si>
  <si>
    <t xml:space="preserve">Dani commission </t>
  </si>
  <si>
    <t>TON commission</t>
  </si>
  <si>
    <t>Total</t>
  </si>
  <si>
    <t xml:space="preserve">Deposit payment received </t>
  </si>
  <si>
    <t xml:space="preserve">Balance of payment </t>
  </si>
  <si>
    <t xml:space="preserve">Keys </t>
  </si>
  <si>
    <t>TBC</t>
  </si>
  <si>
    <t>Saxophone</t>
  </si>
  <si>
    <t>Rus Nerwich</t>
  </si>
  <si>
    <t>DJ</t>
  </si>
  <si>
    <t xml:space="preserve">Rus Nerwich </t>
  </si>
  <si>
    <t>Nathan Ambach</t>
  </si>
  <si>
    <t>Dance and Party</t>
  </si>
  <si>
    <t xml:space="preserve">Dani Commission </t>
  </si>
  <si>
    <t xml:space="preserve">TON Commission 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</si>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</sst>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0.25"/>
    <col customWidth="1" min="3" max="3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</v>
      </c>
      <c r="B3" s="1" t="s">
        <v>6</v>
      </c>
      <c r="C3" s="1" t="s">
        <v>7</v>
      </c>
      <c r="D3" s="1">
        <f>3000*4 </f>
        <v>12000</v>
      </c>
      <c r="E3" s="1">
        <f t="shared" ref="E3:E4" si="1">D3*50/100+D3</f>
        <v>18000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 t="s">
        <v>8</v>
      </c>
      <c r="C4" s="1" t="s">
        <v>9</v>
      </c>
      <c r="D4" s="3">
        <v>3000.0</v>
      </c>
      <c r="E4" s="1">
        <f t="shared" si="1"/>
        <v>4500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>
        <f t="shared" ref="D5:E5" si="2">SUM(D3:D4)</f>
        <v>15000</v>
      </c>
      <c r="E5" s="2">
        <f t="shared" si="2"/>
        <v>22500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10</v>
      </c>
      <c r="B7" s="1" t="s">
        <v>11</v>
      </c>
      <c r="C7" s="1" t="s">
        <v>9</v>
      </c>
      <c r="D7" s="3">
        <v>2000.0</v>
      </c>
      <c r="E7" s="3">
        <v>4500.0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" t="s">
        <v>12</v>
      </c>
      <c r="C8" s="1" t="s">
        <v>13</v>
      </c>
      <c r="D8" s="3">
        <v>3000.0</v>
      </c>
      <c r="E8" s="3">
        <v>4500.0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" t="s">
        <v>14</v>
      </c>
      <c r="C9" s="1" t="s">
        <v>15</v>
      </c>
      <c r="D9" s="3">
        <v>3000.0</v>
      </c>
      <c r="E9" s="3">
        <v>4500.0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2"/>
      <c r="C10" s="2"/>
      <c r="D10" s="3">
        <f t="shared" ref="D10:E10" si="3">SUM(D7:D9)</f>
        <v>8000</v>
      </c>
      <c r="E10" s="3">
        <f t="shared" si="3"/>
        <v>13500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16</v>
      </c>
      <c r="B12" s="1" t="s">
        <v>17</v>
      </c>
      <c r="C12" s="1" t="s">
        <v>18</v>
      </c>
      <c r="D12" s="3" t="s">
        <v>19</v>
      </c>
      <c r="E12" s="3" t="s">
        <v>19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20</v>
      </c>
      <c r="B14" s="1" t="s">
        <v>21</v>
      </c>
      <c r="C14" s="1" t="s">
        <v>22</v>
      </c>
      <c r="D14" s="3">
        <f>(2500*5)</f>
        <v>12500</v>
      </c>
      <c r="E14" s="3">
        <v>14000.0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"/>
      <c r="C15" s="1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1" t="s">
        <v>23</v>
      </c>
      <c r="D17" s="3">
        <f>SUM(D5,D10,D14)</f>
        <v>35500</v>
      </c>
      <c r="E17" s="3">
        <f>SUM(E3:E4,E7:E9,E14)</f>
        <v>50000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1" t="s">
        <v>24</v>
      </c>
      <c r="D18" s="3">
        <v>3000.0</v>
      </c>
      <c r="E18" s="3">
        <v>3000.0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1" t="s">
        <v>25</v>
      </c>
      <c r="D19" s="3">
        <f t="shared" ref="D19:E19" si="4">SUM(D17:D18)</f>
        <v>38500</v>
      </c>
      <c r="E19" s="3">
        <f t="shared" si="4"/>
        <v>53000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C20" s="2"/>
      <c r="D20" s="2" t="str">
        <f>B2</f>
        <v/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26</v>
      </c>
      <c r="B21" s="3">
        <f>E19-D19</f>
        <v>14500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27</v>
      </c>
      <c r="B22" s="3">
        <f>E17*20/100</f>
        <v>10000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28</v>
      </c>
      <c r="B23" s="3">
        <f>SUM(B21:B22)</f>
        <v>24500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29</v>
      </c>
      <c r="B24" s="3">
        <f>B23/2</f>
        <v>12250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30</v>
      </c>
      <c r="B25" s="3">
        <f>B23/2</f>
        <v>12250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31</v>
      </c>
      <c r="B26" s="3">
        <f>SUM(E19,B22)</f>
        <v>63000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32</v>
      </c>
      <c r="B27" s="3">
        <v>34800.0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33</v>
      </c>
      <c r="B28" s="1">
        <f>B26-B27</f>
        <v>28200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0.25"/>
    <col customWidth="1" min="3" max="3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 t="s">
        <v>6</v>
      </c>
      <c r="C3" s="1" t="s">
        <v>7</v>
      </c>
      <c r="D3" s="1">
        <f>3000*4 </f>
        <v>12000</v>
      </c>
      <c r="E3" s="1">
        <f t="shared" ref="E3:E5" si="1">D3*50/100+D3</f>
        <v>18000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 t="s">
        <v>8</v>
      </c>
      <c r="C4" s="1" t="s">
        <v>9</v>
      </c>
      <c r="D4" s="3">
        <v>3000.0</v>
      </c>
      <c r="E4" s="1">
        <f t="shared" si="1"/>
        <v>4500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" t="s">
        <v>34</v>
      </c>
      <c r="C5" s="1" t="s">
        <v>35</v>
      </c>
      <c r="D5" s="1">
        <v>3000.0</v>
      </c>
      <c r="E5" s="1">
        <f t="shared" si="1"/>
        <v>4500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>
        <f t="shared" ref="D6:E6" si="2">SUM(D3:D5)</f>
        <v>18000</v>
      </c>
      <c r="E6" s="2">
        <f t="shared" si="2"/>
        <v>27000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10</v>
      </c>
      <c r="B8" s="1" t="s">
        <v>11</v>
      </c>
      <c r="C8" s="1" t="s">
        <v>9</v>
      </c>
      <c r="D8" s="3">
        <v>2000.0</v>
      </c>
      <c r="E8" s="3">
        <v>4500.0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" t="s">
        <v>36</v>
      </c>
      <c r="C9" s="1" t="s">
        <v>37</v>
      </c>
      <c r="D9" s="3">
        <v>3000.0</v>
      </c>
      <c r="E9" s="3">
        <v>4500.0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" t="s">
        <v>12</v>
      </c>
      <c r="C10" s="1" t="s">
        <v>13</v>
      </c>
      <c r="D10" s="3">
        <v>3000.0</v>
      </c>
      <c r="E10" s="3">
        <v>4500.0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" t="s">
        <v>14</v>
      </c>
      <c r="C11" s="1" t="s">
        <v>15</v>
      </c>
      <c r="D11" s="3">
        <v>3000.0</v>
      </c>
      <c r="E11" s="3">
        <v>4500.0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2"/>
      <c r="C12" s="2"/>
      <c r="D12" s="3">
        <f t="shared" ref="D12:E12" si="3">SUM(D8:D11)</f>
        <v>11000</v>
      </c>
      <c r="E12" s="3">
        <f t="shared" si="3"/>
        <v>18000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16</v>
      </c>
      <c r="B14" s="1" t="s">
        <v>38</v>
      </c>
      <c r="C14" s="1" t="s">
        <v>35</v>
      </c>
      <c r="D14" s="3">
        <v>3000.0</v>
      </c>
      <c r="E14" s="3">
        <v>3000.0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20</v>
      </c>
      <c r="B16" s="1" t="s">
        <v>38</v>
      </c>
      <c r="C16" s="1" t="s">
        <v>39</v>
      </c>
      <c r="D16" s="3">
        <v>10000.0</v>
      </c>
      <c r="E16" s="3">
        <v>12000.0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" t="s">
        <v>21</v>
      </c>
      <c r="C17" s="1" t="s">
        <v>22</v>
      </c>
      <c r="D17" s="3">
        <f>(2500*5)</f>
        <v>12500</v>
      </c>
      <c r="E17" s="3">
        <v>14000.0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" t="s">
        <v>38</v>
      </c>
      <c r="C18" s="1" t="s">
        <v>40</v>
      </c>
      <c r="D18" s="3">
        <v>15000.0</v>
      </c>
      <c r="E18" s="3">
        <v>16500.0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1" t="s">
        <v>23</v>
      </c>
      <c r="D20" s="3">
        <f t="shared" ref="D20:E20" si="4">SUM(D6,D12,D14,D16)</f>
        <v>42000</v>
      </c>
      <c r="E20" s="3">
        <f t="shared" si="4"/>
        <v>60000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" t="s">
        <v>24</v>
      </c>
      <c r="D21" s="3">
        <v>3000.0</v>
      </c>
      <c r="E21" s="3">
        <v>3000.0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" t="s">
        <v>25</v>
      </c>
      <c r="D22" s="3">
        <f t="shared" ref="D22:E22" si="5">SUM(D20:D21)</f>
        <v>45000</v>
      </c>
      <c r="E22" s="3">
        <f t="shared" si="5"/>
        <v>63000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26</v>
      </c>
      <c r="B23" s="3">
        <f>E22-D22</f>
        <v>18000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27</v>
      </c>
      <c r="B24" s="3">
        <f>E20*20/100</f>
        <v>12000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28</v>
      </c>
      <c r="B25" s="3">
        <f>SUM(B23:B24)</f>
        <v>30000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31</v>
      </c>
      <c r="B26" s="3">
        <f>SUM(E22,B24)</f>
        <v>75000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0.25"/>
    <col customWidth="1" min="3" max="3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 t="s">
        <v>6</v>
      </c>
      <c r="C3" s="1" t="s">
        <v>7</v>
      </c>
      <c r="D3" s="1">
        <f>3000*4 </f>
        <v>12000</v>
      </c>
      <c r="E3" s="1">
        <f t="shared" ref="E3:E5" si="1">D3*50/100+D3</f>
        <v>18000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 t="s">
        <v>8</v>
      </c>
      <c r="C4" s="1" t="s">
        <v>9</v>
      </c>
      <c r="D4" s="3">
        <v>3000.0</v>
      </c>
      <c r="E4" s="1">
        <f t="shared" si="1"/>
        <v>4500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" t="s">
        <v>34</v>
      </c>
      <c r="C5" s="1" t="s">
        <v>35</v>
      </c>
      <c r="D5" s="1">
        <v>3000.0</v>
      </c>
      <c r="E5" s="1">
        <f t="shared" si="1"/>
        <v>4500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>
        <f t="shared" ref="D6:E6" si="2">SUM(D3:D5)</f>
        <v>18000</v>
      </c>
      <c r="E6" s="2">
        <f t="shared" si="2"/>
        <v>27000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10</v>
      </c>
      <c r="B8" s="1" t="s">
        <v>11</v>
      </c>
      <c r="C8" s="1" t="s">
        <v>9</v>
      </c>
      <c r="D8" s="3">
        <v>2000.0</v>
      </c>
      <c r="E8" s="3">
        <v>4500.0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" t="s">
        <v>12</v>
      </c>
      <c r="C9" s="1" t="s">
        <v>13</v>
      </c>
      <c r="D9" s="3">
        <v>3000.0</v>
      </c>
      <c r="E9" s="3">
        <v>4500.0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" t="s">
        <v>14</v>
      </c>
      <c r="C10" s="1" t="s">
        <v>15</v>
      </c>
      <c r="D10" s="3">
        <v>3000.0</v>
      </c>
      <c r="E10" s="3">
        <v>4500.0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2"/>
      <c r="C11" s="2"/>
      <c r="D11" s="3">
        <f t="shared" ref="D11:E11" si="3">SUM(D8:D10)</f>
        <v>8000</v>
      </c>
      <c r="E11" s="3">
        <f t="shared" si="3"/>
        <v>13500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16</v>
      </c>
      <c r="B13" s="1" t="s">
        <v>38</v>
      </c>
      <c r="C13" s="1" t="s">
        <v>35</v>
      </c>
      <c r="D13" s="3">
        <v>3000.0</v>
      </c>
      <c r="E13" s="3">
        <v>3000.0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20</v>
      </c>
      <c r="B15" s="1" t="s">
        <v>38</v>
      </c>
      <c r="C15" s="1" t="s">
        <v>40</v>
      </c>
      <c r="D15" s="3">
        <v>15000.0</v>
      </c>
      <c r="E15" s="3">
        <v>16500.0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"/>
      <c r="C16" s="1"/>
      <c r="D16" s="3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1" t="s">
        <v>23</v>
      </c>
      <c r="D19" s="3">
        <f t="shared" ref="D19:E19" si="4">SUM(D6,D11,D13,D15)</f>
        <v>44000</v>
      </c>
      <c r="E19" s="3">
        <f t="shared" si="4"/>
        <v>60000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1" t="s">
        <v>24</v>
      </c>
      <c r="D20" s="3">
        <v>3000.0</v>
      </c>
      <c r="E20" s="3">
        <v>3000.0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" t="s">
        <v>25</v>
      </c>
      <c r="D21" s="3">
        <f t="shared" ref="D21:E21" si="5">SUM(D19:D20)</f>
        <v>47000</v>
      </c>
      <c r="E21" s="3">
        <f t="shared" si="5"/>
        <v>63000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26</v>
      </c>
      <c r="B22" s="3">
        <f>E21-D21</f>
        <v>16000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27</v>
      </c>
      <c r="B23" s="3">
        <f>E19*20/100</f>
        <v>12000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28</v>
      </c>
      <c r="B24" s="3">
        <f>SUM(B22:B23)</f>
        <v>28000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31</v>
      </c>
      <c r="B25" s="3">
        <f>SUM(E21,B23)</f>
        <v>75000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0.25"/>
    <col customWidth="1" min="3" max="3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 t="s">
        <v>6</v>
      </c>
      <c r="C3" s="1" t="s">
        <v>7</v>
      </c>
      <c r="D3" s="1">
        <f>3000*4 </f>
        <v>12000</v>
      </c>
      <c r="E3" s="1">
        <f>D3*50/100+D3</f>
        <v>18000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3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 t="s">
        <v>8</v>
      </c>
      <c r="C5" s="1" t="s">
        <v>9</v>
      </c>
      <c r="D5" s="3">
        <v>3000.0</v>
      </c>
      <c r="E5" s="1">
        <f>D5*50/100+D5</f>
        <v>4500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>
        <f t="shared" ref="D6:E6" si="1">SUM(D3:D5)</f>
        <v>15000</v>
      </c>
      <c r="E6" s="2">
        <f t="shared" si="1"/>
        <v>22500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10</v>
      </c>
      <c r="B8" s="1" t="s">
        <v>11</v>
      </c>
      <c r="C8" s="1" t="s">
        <v>9</v>
      </c>
      <c r="D8" s="3">
        <v>2000.0</v>
      </c>
      <c r="E8" s="3">
        <v>4500.0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" t="s">
        <v>12</v>
      </c>
      <c r="C9" s="1" t="s">
        <v>13</v>
      </c>
      <c r="D9" s="3">
        <v>3000.0</v>
      </c>
      <c r="E9" s="3">
        <v>4500.0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" t="s">
        <v>14</v>
      </c>
      <c r="C10" s="1" t="s">
        <v>15</v>
      </c>
      <c r="D10" s="3">
        <v>3000.0</v>
      </c>
      <c r="E10" s="3">
        <v>4500.0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2"/>
      <c r="C11" s="2"/>
      <c r="D11" s="3">
        <f t="shared" ref="D11:E11" si="2">SUM(D8:D10)</f>
        <v>8000</v>
      </c>
      <c r="E11" s="3">
        <f t="shared" si="2"/>
        <v>13500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41</v>
      </c>
      <c r="B14" s="1" t="s">
        <v>38</v>
      </c>
      <c r="C14" s="1" t="s">
        <v>22</v>
      </c>
      <c r="D14" s="3">
        <v>12500.0</v>
      </c>
      <c r="E14" s="3">
        <v>14000.0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1" t="s">
        <v>23</v>
      </c>
      <c r="D16" s="3">
        <f t="shared" ref="D16:E16" si="3">SUM(D6,D11,D14)</f>
        <v>35500</v>
      </c>
      <c r="E16" s="3">
        <f t="shared" si="3"/>
        <v>50000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1" t="s">
        <v>24</v>
      </c>
      <c r="D17" s="3">
        <v>3000.0</v>
      </c>
      <c r="E17" s="3">
        <v>3000.0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1" t="s">
        <v>25</v>
      </c>
      <c r="D18" s="3">
        <f t="shared" ref="D18:E18" si="4">SUM(D16:D17)</f>
        <v>38500</v>
      </c>
      <c r="E18" s="3">
        <f t="shared" si="4"/>
        <v>53000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26</v>
      </c>
      <c r="B19" s="3">
        <f>E18-D18</f>
        <v>14500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27</v>
      </c>
      <c r="B20" s="3">
        <f>E16*20/100</f>
        <v>10000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28</v>
      </c>
      <c r="B21" s="3">
        <f>SUM(B19:B20)</f>
        <v>24500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42</v>
      </c>
      <c r="B22" s="3">
        <f>B21/2</f>
        <v>12250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43</v>
      </c>
      <c r="B23" s="3">
        <f>B21/2</f>
        <v>12250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44</v>
      </c>
      <c r="B24" s="3">
        <f>SUM(E18,B20)</f>
        <v>63000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32</v>
      </c>
      <c r="B25" s="1">
        <v>34800.0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33</v>
      </c>
      <c r="B26" s="2">
        <f>B24-B25</f>
        <v>28200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drawing r:id="rId1"/>
</worksheet>
</file>