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a Marano\Documents\TON\Weddings\4 April - Anna Guardascione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1" i="1"/>
  <c r="B16" i="1" l="1"/>
  <c r="B15" i="1"/>
  <c r="B14" i="1"/>
  <c r="B13" i="1"/>
  <c r="B10" i="1"/>
  <c r="E8" i="1"/>
  <c r="D8" i="1"/>
  <c r="B9" i="1"/>
  <c r="E5" i="1"/>
  <c r="D5" i="1"/>
  <c r="D3" i="1"/>
</calcChain>
</file>

<file path=xl/sharedStrings.xml><?xml version="1.0" encoding="utf-8"?>
<sst xmlns="http://schemas.openxmlformats.org/spreadsheetml/2006/main" count="22" uniqueCount="22">
  <si>
    <t xml:space="preserve">Budget - 5 April 2020 </t>
  </si>
  <si>
    <t xml:space="preserve">Set </t>
  </si>
  <si>
    <t xml:space="preserve">Musician Type </t>
  </si>
  <si>
    <t xml:space="preserve">Musician Name </t>
  </si>
  <si>
    <t xml:space="preserve">Rate </t>
  </si>
  <si>
    <t xml:space="preserve">Quoted rate </t>
  </si>
  <si>
    <t>Ceremony: Option One</t>
  </si>
  <si>
    <t xml:space="preserve">Choir </t>
  </si>
  <si>
    <t xml:space="preserve">Asili Vocal Ensemble </t>
  </si>
  <si>
    <t>Keys player</t>
  </si>
  <si>
    <t xml:space="preserve">TBC </t>
  </si>
  <si>
    <t xml:space="preserve">Booking fee - 20% </t>
  </si>
  <si>
    <t xml:space="preserve">Built in commission </t>
  </si>
  <si>
    <t>Total commission</t>
  </si>
  <si>
    <t xml:space="preserve">Total excluding VAT </t>
  </si>
  <si>
    <t xml:space="preserve">VAT </t>
  </si>
  <si>
    <t xml:space="preserve">Total including VAT </t>
  </si>
  <si>
    <t xml:space="preserve">Transport </t>
  </si>
  <si>
    <t xml:space="preserve">Coordination </t>
  </si>
  <si>
    <t xml:space="preserve">Total expense </t>
  </si>
  <si>
    <t xml:space="preserve">Dani commission </t>
  </si>
  <si>
    <t xml:space="preserve">TON commission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</si>
</sst>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B13" sqref="B13"/>
    </sheetView>
  </sheetViews>
  <sheetFormatPr defaultRowHeight="15" x14ac:dyDescent="0.25"/>
  <cols>
    <col min="1" max="1" width="21.85546875" bestFit="1" customWidth="1"/>
    <col min="2" max="2" width="14.140625" bestFit="1" customWidth="1"/>
    <col min="3" max="3" width="20" bestFit="1" customWidth="1"/>
    <col min="5" max="5" width="12.1406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6</v>
      </c>
      <c r="B3" s="1" t="s">
        <v>7</v>
      </c>
      <c r="C3" s="1" t="s">
        <v>8</v>
      </c>
      <c r="D3" s="1">
        <f>1500*9</f>
        <v>13500</v>
      </c>
      <c r="E3" s="1">
        <v>16705</v>
      </c>
    </row>
    <row r="4" spans="1:5" x14ac:dyDescent="0.25">
      <c r="A4" s="1"/>
      <c r="B4" s="1" t="s">
        <v>9</v>
      </c>
      <c r="C4" s="1" t="s">
        <v>10</v>
      </c>
      <c r="D4" s="1">
        <v>2000</v>
      </c>
      <c r="E4" s="1">
        <v>3400</v>
      </c>
    </row>
    <row r="5" spans="1:5" x14ac:dyDescent="0.25">
      <c r="A5" s="1"/>
      <c r="B5" s="1"/>
      <c r="C5" s="1"/>
      <c r="D5" s="1">
        <f>SUM(D3:D4)</f>
        <v>15500</v>
      </c>
      <c r="E5" s="1">
        <f>SUM(E3:E4)</f>
        <v>20105</v>
      </c>
    </row>
    <row r="6" spans="1:5" x14ac:dyDescent="0.25">
      <c r="A6" s="1"/>
      <c r="B6" s="1"/>
      <c r="C6" s="1" t="s">
        <v>17</v>
      </c>
      <c r="D6" s="1">
        <v>2000</v>
      </c>
      <c r="E6" s="1">
        <v>2000</v>
      </c>
    </row>
    <row r="7" spans="1:5" x14ac:dyDescent="0.25">
      <c r="A7" s="1"/>
      <c r="B7" s="1"/>
      <c r="C7" s="1" t="s">
        <v>18</v>
      </c>
      <c r="D7" s="1">
        <v>3000</v>
      </c>
      <c r="E7" s="1">
        <v>3000</v>
      </c>
    </row>
    <row r="8" spans="1:5" x14ac:dyDescent="0.25">
      <c r="A8" s="1"/>
      <c r="B8" s="1"/>
      <c r="C8" s="1" t="s">
        <v>19</v>
      </c>
      <c r="D8" s="1">
        <f>SUM(D5:D7)</f>
        <v>20500</v>
      </c>
      <c r="E8" s="1">
        <f>SUM(E5:E7)</f>
        <v>25105</v>
      </c>
    </row>
    <row r="9" spans="1:5" x14ac:dyDescent="0.25">
      <c r="A9" s="1" t="s">
        <v>11</v>
      </c>
      <c r="B9" s="1">
        <f>E5*20/100</f>
        <v>4021</v>
      </c>
      <c r="C9" s="1"/>
      <c r="D9" s="1"/>
      <c r="E9" s="1"/>
    </row>
    <row r="10" spans="1:5" x14ac:dyDescent="0.25">
      <c r="A10" s="1" t="s">
        <v>12</v>
      </c>
      <c r="B10" s="1">
        <f>E8-D8</f>
        <v>4605</v>
      </c>
      <c r="C10" s="1"/>
      <c r="D10" s="1"/>
      <c r="E10" s="1"/>
    </row>
    <row r="11" spans="1:5" x14ac:dyDescent="0.25">
      <c r="A11" s="1" t="s">
        <v>20</v>
      </c>
      <c r="B11" s="1">
        <f>B13*10/100</f>
        <v>862.6</v>
      </c>
      <c r="C11" s="1"/>
      <c r="D11" s="1"/>
      <c r="E11" s="1"/>
    </row>
    <row r="12" spans="1:5" x14ac:dyDescent="0.25">
      <c r="A12" s="1" t="s">
        <v>21</v>
      </c>
      <c r="B12" s="1">
        <f>B13-B11</f>
        <v>7763.4</v>
      </c>
      <c r="C12" s="1"/>
      <c r="D12" s="1"/>
      <c r="E12" s="1"/>
    </row>
    <row r="13" spans="1:5" x14ac:dyDescent="0.25">
      <c r="A13" s="1" t="s">
        <v>13</v>
      </c>
      <c r="B13" s="1">
        <f>SUM(B9:B10)</f>
        <v>8626</v>
      </c>
      <c r="C13" s="1"/>
      <c r="D13" s="1"/>
      <c r="E13" s="1"/>
    </row>
    <row r="14" spans="1:5" x14ac:dyDescent="0.25">
      <c r="A14" s="1" t="s">
        <v>14</v>
      </c>
      <c r="B14" s="1">
        <f>SUM(E8,B9)</f>
        <v>29126</v>
      </c>
      <c r="C14" s="1"/>
      <c r="D14" s="1"/>
      <c r="E14" s="1"/>
    </row>
    <row r="15" spans="1:5" x14ac:dyDescent="0.25">
      <c r="A15" s="1" t="s">
        <v>15</v>
      </c>
      <c r="B15" s="1">
        <f>B14*15/100</f>
        <v>4368.8999999999996</v>
      </c>
      <c r="C15" s="1"/>
      <c r="D15" s="1"/>
      <c r="E15" s="1"/>
    </row>
    <row r="16" spans="1:5" x14ac:dyDescent="0.25">
      <c r="A16" s="1" t="s">
        <v>16</v>
      </c>
      <c r="B16" s="1">
        <f>SUM(B14:B15)</f>
        <v>33494.9</v>
      </c>
      <c r="C16" s="1"/>
      <c r="D16" s="1"/>
      <c r="E16" s="1"/>
    </row>
    <row r="17" spans="1:5" x14ac:dyDescent="0.25">
      <c r="A17" s="1"/>
      <c r="B17" s="1"/>
      <c r="C17" s="1"/>
      <c r="D17" s="1"/>
      <c r="E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Marano</dc:creator>
  <cp:lastModifiedBy>Daniela Marano</cp:lastModifiedBy>
  <dcterms:created xsi:type="dcterms:W3CDTF">2020-01-24T13:09:55Z</dcterms:created>
  <dcterms:modified xsi:type="dcterms:W3CDTF">2020-02-01T07:13:07Z</dcterms:modified>
</cp:coreProperties>
</file>