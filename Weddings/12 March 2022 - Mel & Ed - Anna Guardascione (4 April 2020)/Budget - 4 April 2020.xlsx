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1">
      <go:sheetsCustomData xmlns:go="http://customooxmlschemas.google.com/" r:id="rId6" roundtripDataSignature="AMtx7mi5h/hF6EKd302e2ssUOB7hL9DMRg=="/>
    </ext>
  </extLst>
</workbook>
</file>

<file path=xl/sharedStrings.xml><?xml version="1.0" encoding="utf-8"?>
<sst xmlns="http://schemas.openxmlformats.org/spreadsheetml/2006/main" count="67" uniqueCount="40">
  <si>
    <t xml:space="preserve">Budget - 4 April 2020 </t>
  </si>
  <si>
    <t>Set</t>
  </si>
  <si>
    <t xml:space="preserve">Musician Type </t>
  </si>
  <si>
    <t xml:space="preserve">Musician Name </t>
  </si>
  <si>
    <t xml:space="preserve">Rate </t>
  </si>
  <si>
    <t xml:space="preserve">Quoted Rate </t>
  </si>
  <si>
    <t xml:space="preserve">Dinner </t>
  </si>
  <si>
    <t xml:space="preserve">DJ </t>
  </si>
  <si>
    <t xml:space="preserve">Rus Nerwich </t>
  </si>
  <si>
    <t xml:space="preserve">Dance: </t>
  </si>
  <si>
    <t xml:space="preserve">Vocals </t>
  </si>
  <si>
    <t>Nathan Ambach</t>
  </si>
  <si>
    <t xml:space="preserve">Francesca Biancoli </t>
  </si>
  <si>
    <t xml:space="preserve">Saxophone </t>
  </si>
  <si>
    <t xml:space="preserve">Trumpet </t>
  </si>
  <si>
    <t xml:space="preserve">Lee Thomson </t>
  </si>
  <si>
    <t xml:space="preserve">Guitar </t>
  </si>
  <si>
    <t xml:space="preserve">Angelo Syster </t>
  </si>
  <si>
    <t xml:space="preserve">Bass </t>
  </si>
  <si>
    <t xml:space="preserve">Nicholas Williams </t>
  </si>
  <si>
    <t xml:space="preserve">Keys </t>
  </si>
  <si>
    <t xml:space="preserve">Andrew Ford </t>
  </si>
  <si>
    <t>Drums</t>
  </si>
  <si>
    <t xml:space="preserve">Kevin Gibson </t>
  </si>
  <si>
    <t xml:space="preserve">Party: </t>
  </si>
  <si>
    <t xml:space="preserve">Nathan Ambach </t>
  </si>
  <si>
    <t xml:space="preserve">Musician expense </t>
  </si>
  <si>
    <t xml:space="preserve">Musical coordination </t>
  </si>
  <si>
    <t xml:space="preserve">Petrol </t>
  </si>
  <si>
    <t xml:space="preserve">Total expense </t>
  </si>
  <si>
    <t xml:space="preserve">Built in commission </t>
  </si>
  <si>
    <t xml:space="preserve">Booking fee - 20% </t>
  </si>
  <si>
    <t>Total commission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</si>
  <si>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</si>
  <si>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</si>
  <si>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</si>
  <si>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</si>
  <si>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</si>
  <si>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 xml:space="preserve">Deposit payment paid </t>
  </si>
  <si>
    <t xml:space="preserve">Balance due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</si>
</sst>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2.38"/>
    <col customWidth="1" min="3" max="3" width="17.63"/>
    <col customWidth="1" min="4" max="4" width="7.63"/>
    <col customWidth="1" min="5" max="5" width="11.0"/>
    <col customWidth="1" min="6" max="26" width="7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2" t="s">
        <v>7</v>
      </c>
      <c r="C3" s="2" t="s">
        <v>8</v>
      </c>
      <c r="D3" s="2">
        <v>2500.0</v>
      </c>
      <c r="E3" s="2">
        <f>D3*70/100+D3</f>
        <v>4250</v>
      </c>
    </row>
    <row r="4">
      <c r="A4" s="2"/>
      <c r="B4" s="2"/>
      <c r="C4" s="2"/>
      <c r="D4" s="2"/>
      <c r="E4" s="2"/>
    </row>
    <row r="5">
      <c r="A5" s="2" t="s">
        <v>9</v>
      </c>
      <c r="B5" s="2" t="s">
        <v>10</v>
      </c>
      <c r="C5" s="2" t="s">
        <v>11</v>
      </c>
      <c r="D5" s="2">
        <v>5000.0</v>
      </c>
      <c r="E5" s="2">
        <f t="shared" ref="E5:E12" si="1">D5*70/100+D5</f>
        <v>8500</v>
      </c>
    </row>
    <row r="6">
      <c r="A6" s="2"/>
      <c r="B6" s="2" t="s">
        <v>10</v>
      </c>
      <c r="C6" s="2" t="s">
        <v>12</v>
      </c>
      <c r="D6" s="2">
        <v>3000.0</v>
      </c>
      <c r="E6" s="2">
        <f t="shared" si="1"/>
        <v>5100</v>
      </c>
    </row>
    <row r="7">
      <c r="A7" s="2"/>
      <c r="B7" s="2" t="s">
        <v>13</v>
      </c>
      <c r="C7" s="2" t="s">
        <v>8</v>
      </c>
      <c r="D7" s="2">
        <v>3000.0</v>
      </c>
      <c r="E7" s="2">
        <f t="shared" si="1"/>
        <v>5100</v>
      </c>
    </row>
    <row r="8">
      <c r="A8" s="2"/>
      <c r="B8" s="2" t="s">
        <v>14</v>
      </c>
      <c r="C8" s="2" t="s">
        <v>15</v>
      </c>
      <c r="D8" s="2">
        <v>3000.0</v>
      </c>
      <c r="E8" s="2">
        <f t="shared" si="1"/>
        <v>5100</v>
      </c>
    </row>
    <row r="9">
      <c r="A9" s="2"/>
      <c r="B9" s="2" t="s">
        <v>16</v>
      </c>
      <c r="C9" s="2" t="s">
        <v>17</v>
      </c>
      <c r="D9" s="2">
        <v>3000.0</v>
      </c>
      <c r="E9" s="2">
        <f t="shared" si="1"/>
        <v>5100</v>
      </c>
    </row>
    <row r="10">
      <c r="A10" s="2"/>
      <c r="B10" s="2" t="s">
        <v>18</v>
      </c>
      <c r="C10" s="2" t="s">
        <v>19</v>
      </c>
      <c r="D10" s="2">
        <v>3000.0</v>
      </c>
      <c r="E10" s="2">
        <f t="shared" si="1"/>
        <v>5100</v>
      </c>
    </row>
    <row r="11">
      <c r="A11" s="2"/>
      <c r="B11" s="2" t="s">
        <v>20</v>
      </c>
      <c r="C11" s="2" t="s">
        <v>21</v>
      </c>
      <c r="D11" s="2">
        <v>3000.0</v>
      </c>
      <c r="E11" s="2">
        <f t="shared" si="1"/>
        <v>5100</v>
      </c>
    </row>
    <row r="12">
      <c r="A12" s="2"/>
      <c r="B12" s="2" t="s">
        <v>22</v>
      </c>
      <c r="C12" s="2" t="s">
        <v>23</v>
      </c>
      <c r="D12" s="2">
        <v>3000.0</v>
      </c>
      <c r="E12" s="2">
        <f t="shared" si="1"/>
        <v>5100</v>
      </c>
    </row>
    <row r="13">
      <c r="A13" s="2"/>
      <c r="B13" s="2"/>
      <c r="C13" s="2"/>
      <c r="D13" s="2">
        <f t="shared" ref="D13:E13" si="2">SUM(D5:D12)</f>
        <v>26000</v>
      </c>
      <c r="E13" s="2">
        <f t="shared" si="2"/>
        <v>44200</v>
      </c>
    </row>
    <row r="14">
      <c r="A14" s="2"/>
      <c r="B14" s="2"/>
      <c r="C14" s="2"/>
      <c r="D14" s="2"/>
      <c r="E14" s="2"/>
    </row>
    <row r="15">
      <c r="A15" s="2" t="s">
        <v>24</v>
      </c>
      <c r="B15" s="2" t="s">
        <v>7</v>
      </c>
      <c r="C15" s="2" t="s">
        <v>25</v>
      </c>
      <c r="D15" s="2">
        <v>10000.0</v>
      </c>
      <c r="E15" s="2">
        <f>D15*20/100+D15</f>
        <v>12000</v>
      </c>
    </row>
    <row r="16">
      <c r="A16" s="2"/>
      <c r="B16" s="2"/>
      <c r="C16" s="2"/>
      <c r="D16" s="2"/>
      <c r="E16" s="2"/>
    </row>
    <row r="17">
      <c r="A17" s="2"/>
      <c r="B17" s="2"/>
      <c r="C17" s="2" t="s">
        <v>26</v>
      </c>
      <c r="D17" s="2">
        <f t="shared" ref="D17:E17" si="3">SUM(D3,D13,D15)</f>
        <v>38500</v>
      </c>
      <c r="E17" s="2">
        <f t="shared" si="3"/>
        <v>60450</v>
      </c>
    </row>
    <row r="18">
      <c r="A18" s="2"/>
      <c r="B18" s="2"/>
      <c r="C18" s="2" t="s">
        <v>27</v>
      </c>
      <c r="D18" s="2">
        <v>3000.0</v>
      </c>
      <c r="E18" s="2">
        <v>3000.0</v>
      </c>
    </row>
    <row r="19">
      <c r="A19" s="2"/>
      <c r="B19" s="2"/>
      <c r="C19" s="2" t="s">
        <v>28</v>
      </c>
      <c r="D19" s="2">
        <f t="shared" ref="D19:E19" si="4">250*8</f>
        <v>2000</v>
      </c>
      <c r="E19" s="2">
        <f t="shared" si="4"/>
        <v>2000</v>
      </c>
    </row>
    <row r="20">
      <c r="A20" s="2"/>
      <c r="B20" s="2"/>
      <c r="C20" s="2" t="s">
        <v>29</v>
      </c>
      <c r="D20" s="2">
        <f>SUM(D17:D18)</f>
        <v>41500</v>
      </c>
      <c r="E20" s="2">
        <f>SUM(E17:E19)</f>
        <v>65450</v>
      </c>
    </row>
    <row r="21" ht="15.75" customHeight="1">
      <c r="A21" s="2" t="s">
        <v>30</v>
      </c>
      <c r="B21" s="2">
        <f>E20-D20</f>
        <v>23950</v>
      </c>
      <c r="C21" s="2"/>
      <c r="D21" s="2"/>
      <c r="E21" s="2"/>
    </row>
    <row r="22" ht="15.75" customHeight="1">
      <c r="A22" s="2" t="s">
        <v>31</v>
      </c>
      <c r="B22" s="2">
        <f>E17*20/100</f>
        <v>12090</v>
      </c>
      <c r="C22" s="2"/>
      <c r="D22" s="2"/>
      <c r="E22" s="2"/>
    </row>
    <row r="23" ht="15.75" customHeight="1">
      <c r="A23" s="2" t="s">
        <v>32</v>
      </c>
      <c r="B23" s="2">
        <f>SUM(B21:B22)</f>
        <v>36040</v>
      </c>
      <c r="C23" s="2"/>
      <c r="D23" s="2"/>
      <c r="E23" s="2"/>
    </row>
    <row r="24" ht="15.75" customHeight="1">
      <c r="A24" s="2" t="s">
        <v>33</v>
      </c>
      <c r="B24" s="2">
        <f>B23*10/100</f>
        <v>3604</v>
      </c>
      <c r="C24" s="2"/>
      <c r="D24" s="2"/>
      <c r="E24" s="2"/>
    </row>
    <row r="25" ht="15.75" customHeight="1">
      <c r="A25" s="2" t="s">
        <v>34</v>
      </c>
      <c r="B25" s="2">
        <f>B23-B24</f>
        <v>32436</v>
      </c>
      <c r="C25" s="2"/>
      <c r="D25" s="2"/>
      <c r="E25" s="2"/>
    </row>
    <row r="26" ht="15.75" customHeight="1">
      <c r="A26" s="2" t="s">
        <v>35</v>
      </c>
      <c r="B26" s="2">
        <f>SUM(E20,B22)</f>
        <v>77540</v>
      </c>
      <c r="C26" s="2"/>
      <c r="D26" s="2"/>
      <c r="E26" s="2"/>
    </row>
    <row r="27" ht="15.75" customHeight="1">
      <c r="A27" s="2" t="s">
        <v>36</v>
      </c>
      <c r="B27" s="2">
        <f>B26*15/100</f>
        <v>11631</v>
      </c>
      <c r="C27" s="2"/>
      <c r="D27" s="2"/>
      <c r="E27" s="2"/>
    </row>
    <row r="28" ht="15.75" customHeight="1">
      <c r="A28" s="2" t="s">
        <v>37</v>
      </c>
      <c r="B28" s="2">
        <f>SUM(B26:B27)</f>
        <v>89171</v>
      </c>
      <c r="C28" s="2"/>
      <c r="D28" s="2"/>
      <c r="E28" s="2"/>
    </row>
    <row r="29" ht="15.75" customHeight="1">
      <c r="A29" s="3" t="s">
        <v>38</v>
      </c>
      <c r="B29" s="3">
        <f>B28/2</f>
        <v>44585.5</v>
      </c>
    </row>
    <row r="30" ht="15.75" customHeight="1">
      <c r="A30" s="3" t="s">
        <v>39</v>
      </c>
      <c r="B30" s="1">
        <f>B28-B29</f>
        <v>44585.5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2.38"/>
    <col customWidth="1" min="3" max="3" width="17.63"/>
    <col customWidth="1" min="4" max="4" width="5.25"/>
    <col customWidth="1" min="5" max="5" width="11.0"/>
    <col customWidth="1" min="6" max="26" width="7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6</v>
      </c>
      <c r="B3" s="2" t="s">
        <v>7</v>
      </c>
      <c r="C3" s="2" t="s">
        <v>8</v>
      </c>
      <c r="D3" s="2">
        <v>2500.0</v>
      </c>
      <c r="E3" s="2">
        <f>D3*70/100+D3</f>
        <v>4250</v>
      </c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 t="s">
        <v>24</v>
      </c>
      <c r="B15" s="2" t="s">
        <v>7</v>
      </c>
      <c r="C15" s="2" t="s">
        <v>25</v>
      </c>
      <c r="D15" s="2">
        <v>10000.0</v>
      </c>
      <c r="E15" s="2">
        <f>D15*20/100+D15</f>
        <v>12000</v>
      </c>
    </row>
    <row r="16">
      <c r="A16" s="2"/>
      <c r="B16" s="2"/>
      <c r="C16" s="2"/>
      <c r="D16" s="2"/>
      <c r="E16" s="2"/>
    </row>
    <row r="17">
      <c r="A17" s="2"/>
      <c r="B17" s="2"/>
      <c r="C17" s="2" t="s">
        <v>26</v>
      </c>
      <c r="D17" s="2">
        <f t="shared" ref="D17:E17" si="1">SUM(D3,D13,D15)</f>
        <v>12500</v>
      </c>
      <c r="E17" s="2">
        <f t="shared" si="1"/>
        <v>16250</v>
      </c>
    </row>
    <row r="18">
      <c r="A18" s="2"/>
      <c r="B18" s="2"/>
      <c r="C18" s="2" t="s">
        <v>27</v>
      </c>
      <c r="D18" s="2">
        <v>3000.0</v>
      </c>
      <c r="E18" s="2">
        <v>3000.0</v>
      </c>
    </row>
    <row r="19">
      <c r="A19" s="2"/>
      <c r="B19" s="2"/>
      <c r="C19" s="2" t="s">
        <v>28</v>
      </c>
      <c r="D19" s="2">
        <f t="shared" ref="D19:E19" si="2">250*8</f>
        <v>2000</v>
      </c>
      <c r="E19" s="2">
        <f t="shared" si="2"/>
        <v>2000</v>
      </c>
    </row>
    <row r="20">
      <c r="A20" s="2"/>
      <c r="B20" s="2"/>
      <c r="C20" s="2" t="s">
        <v>29</v>
      </c>
      <c r="D20" s="2">
        <f>SUM(D17:D18)</f>
        <v>15500</v>
      </c>
      <c r="E20" s="2">
        <f>SUM(E17:E19)</f>
        <v>21250</v>
      </c>
    </row>
    <row r="21" ht="15.75" customHeight="1">
      <c r="A21" s="2" t="s">
        <v>30</v>
      </c>
      <c r="B21" s="2">
        <f>E20-D20</f>
        <v>5750</v>
      </c>
      <c r="C21" s="2"/>
      <c r="D21" s="2"/>
      <c r="E21" s="2"/>
    </row>
    <row r="22" ht="15.75" customHeight="1">
      <c r="A22" s="2" t="s">
        <v>31</v>
      </c>
      <c r="B22" s="2">
        <f>E17*20/100</f>
        <v>3250</v>
      </c>
      <c r="C22" s="2"/>
      <c r="D22" s="2"/>
      <c r="E22" s="2"/>
    </row>
    <row r="23" ht="15.75" customHeight="1">
      <c r="A23" s="2" t="s">
        <v>32</v>
      </c>
      <c r="B23" s="2">
        <f>SUM(B21:B22)</f>
        <v>9000</v>
      </c>
      <c r="C23" s="2"/>
      <c r="D23" s="2"/>
      <c r="E23" s="2"/>
    </row>
    <row r="24" ht="15.75" customHeight="1">
      <c r="A24" s="2" t="s">
        <v>33</v>
      </c>
      <c r="B24" s="2">
        <f>B23*10/100</f>
        <v>900</v>
      </c>
      <c r="C24" s="2"/>
      <c r="D24" s="2"/>
      <c r="E24" s="2"/>
    </row>
    <row r="25" ht="15.75" customHeight="1">
      <c r="A25" s="2" t="s">
        <v>34</v>
      </c>
      <c r="B25" s="2">
        <f>B23-B24</f>
        <v>8100</v>
      </c>
      <c r="C25" s="2"/>
      <c r="D25" s="2"/>
      <c r="E25" s="2"/>
    </row>
    <row r="26" ht="15.75" customHeight="1">
      <c r="A26" s="2" t="s">
        <v>35</v>
      </c>
      <c r="B26" s="2">
        <f>SUM(E20,B22)</f>
        <v>24500</v>
      </c>
      <c r="C26" s="2"/>
      <c r="D26" s="2"/>
      <c r="E26" s="2"/>
    </row>
    <row r="27" ht="15.75" customHeight="1">
      <c r="A27" s="2" t="s">
        <v>36</v>
      </c>
      <c r="B27" s="2">
        <f>B26*15/100</f>
        <v>3675</v>
      </c>
      <c r="C27" s="2"/>
      <c r="D27" s="2"/>
      <c r="E27" s="2"/>
    </row>
    <row r="28" ht="15.75" customHeight="1">
      <c r="A28" s="2" t="s">
        <v>37</v>
      </c>
      <c r="B28" s="2">
        <f>SUM(B26:B27)</f>
        <v>28175</v>
      </c>
      <c r="C28" s="2"/>
      <c r="D28" s="2"/>
      <c r="E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2019-11-14T07:26:17Z</dcterms:created>
  <dc:creator>Daniela Marano</dc:creator>
</cp:coreProperties>
</file>