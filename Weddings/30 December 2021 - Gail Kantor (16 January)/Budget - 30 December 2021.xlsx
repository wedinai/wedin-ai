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budget" sheetId="1" r:id="rId4"/>
    <sheet state="visible" name="Budget - V.2" sheetId="2" r:id="rId5"/>
  </sheets>
  <definedNames/>
  <calcPr/>
  <extLst>
    <ext uri="GoogleSheetsCustomDataVersion1">
      <go:sheetsCustomData xmlns:go="http://customooxmlschemas.google.com/" r:id="rId6" roundtripDataSignature="AMtx7mj++CLvSRYLwePEeZ/wdoQXqOf61g=="/>
    </ext>
  </extLst>
</workbook>
</file>

<file path=xl/sharedStrings.xml><?xml version="1.0" encoding="utf-8"?>
<sst xmlns="http://schemas.openxmlformats.org/spreadsheetml/2006/main" count="67" uniqueCount="35">
  <si>
    <t>Budget - 16 January 2021</t>
  </si>
  <si>
    <t xml:space="preserve">Set </t>
  </si>
  <si>
    <t xml:space="preserve">Musician Type </t>
  </si>
  <si>
    <t xml:space="preserve">Musician Name </t>
  </si>
  <si>
    <t xml:space="preserve">Rate </t>
  </si>
  <si>
    <t xml:space="preserve">Quoted Rate </t>
  </si>
  <si>
    <t xml:space="preserve">Ceremony </t>
  </si>
  <si>
    <t xml:space="preserve">Duo </t>
  </si>
  <si>
    <t xml:space="preserve">Harp Noted </t>
  </si>
  <si>
    <t xml:space="preserve">Trio </t>
  </si>
  <si>
    <t xml:space="preserve">Pre-drinks - Option Two </t>
  </si>
  <si>
    <t xml:space="preserve">Band </t>
  </si>
  <si>
    <t xml:space="preserve">Rivertones </t>
  </si>
  <si>
    <t xml:space="preserve">Dinner </t>
  </si>
  <si>
    <t xml:space="preserve">DJ </t>
  </si>
  <si>
    <t xml:space="preserve">Rus Nerwich </t>
  </si>
  <si>
    <t>Dance</t>
  </si>
  <si>
    <t>Nathan Ambach</t>
  </si>
  <si>
    <t>Total musician expense</t>
  </si>
  <si>
    <t xml:space="preserve">Coordination </t>
  </si>
  <si>
    <t xml:space="preserve">Total expense </t>
  </si>
  <si>
    <t xml:space="preserve">Built in commission </t>
  </si>
  <si>
    <t xml:space="preserve">Booking fee - 20% </t>
  </si>
  <si>
    <t xml:space="preserve">Total commission </t>
  </si>
  <si>
    <t xml:space="preserve">Dani commission </t>
  </si>
  <si>
    <t xml:space="preserve">TON commission </t>
  </si>
  <si>
    <t xml:space="preserve">Total excluding VAT </t>
  </si>
  <si>
    <t xml:space="preserve">VAT </t>
  </si>
  <si>
    <t xml:space="preserve">Total including VAT </t>
  </si>
  <si>
    <t xml:space="preserve">String Quartet </t>
  </si>
  <si>
    <t xml:space="preserve">POPS </t>
  </si>
  <si>
    <t xml:space="preserve">Pre-drinks </t>
  </si>
  <si>
    <t xml:space="preserve">Marimba band </t>
  </si>
  <si>
    <t xml:space="preserve">Il Afro Suns </t>
  </si>
  <si>
    <t>DJ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</si>
</sst>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1.0"/>
      <color theme="1"/>
      <name val="Calibri"/>
    </font>
    <font>
      <sz val="11.0"/>
      <color theme="1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2.38"/>
    <col customWidth="1" min="3" max="3" width="20.0"/>
    <col customWidth="1" min="4" max="4" width="7.63"/>
    <col customWidth="1" min="5" max="5" width="11.0"/>
    <col customWidth="1" min="6" max="26" width="7.63"/>
  </cols>
  <sheetData>
    <row r="1">
      <c r="A1" s="1" t="s">
        <v>0</v>
      </c>
      <c r="B1" s="1"/>
      <c r="C1" s="1"/>
      <c r="D1" s="1"/>
      <c r="E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2" t="s">
        <v>7</v>
      </c>
      <c r="C3" s="2" t="s">
        <v>8</v>
      </c>
      <c r="D3" s="1">
        <f>4000*3</f>
        <v>12000</v>
      </c>
      <c r="E3" s="3">
        <f t="shared" ref="E3:E4" si="1">D3*25/100+D3</f>
        <v>15000</v>
      </c>
    </row>
    <row r="4">
      <c r="A4" s="1"/>
      <c r="B4" s="2" t="s">
        <v>9</v>
      </c>
      <c r="C4" s="2" t="s">
        <v>8</v>
      </c>
      <c r="D4" s="1">
        <f>4000*2</f>
        <v>8000</v>
      </c>
      <c r="E4" s="3">
        <f t="shared" si="1"/>
        <v>10000</v>
      </c>
    </row>
    <row r="5">
      <c r="A5" s="1"/>
      <c r="B5" s="1"/>
      <c r="C5" s="1"/>
      <c r="D5" s="1"/>
      <c r="E5" s="1"/>
    </row>
    <row r="6">
      <c r="A6" s="3"/>
      <c r="B6" s="3"/>
      <c r="C6" s="3"/>
      <c r="D6" s="3"/>
      <c r="E6" s="1"/>
    </row>
    <row r="7">
      <c r="A7" s="3" t="s">
        <v>10</v>
      </c>
      <c r="B7" s="3" t="s">
        <v>11</v>
      </c>
      <c r="C7" s="3" t="s">
        <v>12</v>
      </c>
      <c r="D7" s="3">
        <f>4000*4</f>
        <v>16000</v>
      </c>
      <c r="E7" s="1">
        <f>D7*25/100+D7</f>
        <v>20000</v>
      </c>
      <c r="F7" s="4">
        <f>E7/4</f>
        <v>5000</v>
      </c>
    </row>
    <row r="8">
      <c r="A8" s="1"/>
      <c r="B8" s="1"/>
      <c r="C8" s="1"/>
      <c r="D8" s="1"/>
      <c r="E8" s="1"/>
    </row>
    <row r="9">
      <c r="A9" s="1" t="s">
        <v>13</v>
      </c>
      <c r="B9" s="1" t="s">
        <v>14</v>
      </c>
      <c r="C9" s="1" t="s">
        <v>15</v>
      </c>
      <c r="D9" s="1">
        <v>2000.0</v>
      </c>
      <c r="E9" s="1">
        <f>D9*50/100+D9</f>
        <v>3000</v>
      </c>
    </row>
    <row r="10">
      <c r="A10" s="1" t="s">
        <v>16</v>
      </c>
      <c r="B10" s="1" t="s">
        <v>14</v>
      </c>
      <c r="C10" s="1" t="s">
        <v>17</v>
      </c>
      <c r="D10" s="2">
        <v>12500.0</v>
      </c>
      <c r="E10" s="1">
        <f>D10*20/100+D10</f>
        <v>15000</v>
      </c>
    </row>
    <row r="11">
      <c r="A11" s="1"/>
      <c r="B11" s="2" t="s">
        <v>14</v>
      </c>
      <c r="C11" s="2" t="s">
        <v>15</v>
      </c>
      <c r="D11" s="1"/>
      <c r="E11" s="2">
        <v>12000.0</v>
      </c>
    </row>
    <row r="12">
      <c r="A12" s="1"/>
      <c r="B12" s="1"/>
      <c r="C12" s="1" t="s">
        <v>18</v>
      </c>
      <c r="D12" s="1">
        <f>SUM(D7:D10)</f>
        <v>30500</v>
      </c>
      <c r="E12" s="1">
        <f>SUM(E7,E9:E10)</f>
        <v>38000</v>
      </c>
    </row>
    <row r="13">
      <c r="A13" s="1"/>
      <c r="B13" s="1"/>
      <c r="C13" s="1" t="s">
        <v>19</v>
      </c>
      <c r="D13" s="1">
        <v>3000.0</v>
      </c>
      <c r="E13" s="1">
        <v>3000.0</v>
      </c>
    </row>
    <row r="14">
      <c r="A14" s="1"/>
      <c r="B14" s="1"/>
      <c r="C14" s="1" t="s">
        <v>20</v>
      </c>
      <c r="D14" s="1">
        <f t="shared" ref="D14:E14" si="2">SUM(D12:D13)</f>
        <v>33500</v>
      </c>
      <c r="E14" s="1">
        <f t="shared" si="2"/>
        <v>41000</v>
      </c>
    </row>
    <row r="15">
      <c r="A15" s="1" t="s">
        <v>21</v>
      </c>
      <c r="B15" s="1">
        <f>E14-D14</f>
        <v>7500</v>
      </c>
      <c r="C15" s="1"/>
      <c r="D15" s="1"/>
      <c r="E15" s="1"/>
    </row>
    <row r="16">
      <c r="A16" s="1" t="s">
        <v>22</v>
      </c>
      <c r="B16" s="1">
        <f>E12*20/100</f>
        <v>7600</v>
      </c>
      <c r="C16" s="1"/>
      <c r="D16" s="1"/>
      <c r="E16" s="1"/>
    </row>
    <row r="17">
      <c r="A17" s="1" t="s">
        <v>23</v>
      </c>
      <c r="B17" s="1">
        <f>SUM(B15:B16)</f>
        <v>15100</v>
      </c>
      <c r="C17" s="1"/>
      <c r="D17" s="1"/>
      <c r="E17" s="1"/>
    </row>
    <row r="18">
      <c r="A18" s="1" t="s">
        <v>24</v>
      </c>
      <c r="B18" s="1">
        <f>B17*20/100</f>
        <v>3020</v>
      </c>
      <c r="C18" s="1"/>
      <c r="D18" s="1"/>
      <c r="E18" s="1"/>
    </row>
    <row r="19">
      <c r="A19" s="1" t="s">
        <v>25</v>
      </c>
      <c r="B19" s="1">
        <f>B17-B18</f>
        <v>12080</v>
      </c>
      <c r="C19" s="1"/>
      <c r="D19" s="1"/>
      <c r="E19" s="1"/>
    </row>
    <row r="20">
      <c r="A20" s="1" t="s">
        <v>26</v>
      </c>
      <c r="B20" s="1">
        <f>SUM(E14,B16)</f>
        <v>48600</v>
      </c>
      <c r="C20" s="1"/>
      <c r="D20" s="1"/>
      <c r="E20" s="1"/>
    </row>
    <row r="21">
      <c r="A21" s="1" t="s">
        <v>27</v>
      </c>
      <c r="B21" s="1">
        <f>B20*15/100</f>
        <v>7290</v>
      </c>
      <c r="C21" s="1"/>
      <c r="D21" s="1"/>
      <c r="E21" s="1"/>
    </row>
    <row r="22">
      <c r="A22" s="1" t="s">
        <v>28</v>
      </c>
      <c r="B22" s="1">
        <f>SUM(B20:B21)</f>
        <v>55890</v>
      </c>
      <c r="C22" s="1"/>
      <c r="D22" s="1"/>
      <c r="E22" s="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/>
      <c r="C1" s="1"/>
      <c r="D1" s="1"/>
      <c r="E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29</v>
      </c>
      <c r="C3" s="1" t="s">
        <v>30</v>
      </c>
      <c r="D3" s="1">
        <f>3000*4</f>
        <v>12000</v>
      </c>
      <c r="E3" s="1">
        <f>D3*50/100+D3</f>
        <v>18000</v>
      </c>
    </row>
    <row r="4">
      <c r="A4" s="1"/>
      <c r="B4" s="1"/>
      <c r="C4" s="1"/>
      <c r="D4" s="1"/>
      <c r="E4" s="1"/>
    </row>
    <row r="5">
      <c r="A5" s="1" t="s">
        <v>31</v>
      </c>
      <c r="B5" s="1" t="s">
        <v>32</v>
      </c>
      <c r="C5" s="1" t="s">
        <v>33</v>
      </c>
      <c r="D5" s="1">
        <f>1500*4</f>
        <v>6000</v>
      </c>
      <c r="E5" s="1">
        <f t="shared" ref="E5:E6" si="1">D5*50/100+D5</f>
        <v>9000</v>
      </c>
    </row>
    <row r="6">
      <c r="A6" s="1"/>
      <c r="B6" s="1" t="s">
        <v>34</v>
      </c>
      <c r="C6" s="1" t="s">
        <v>15</v>
      </c>
      <c r="D6" s="1">
        <v>3000.0</v>
      </c>
      <c r="E6" s="1">
        <f t="shared" si="1"/>
        <v>4500</v>
      </c>
    </row>
    <row r="7">
      <c r="A7" s="3"/>
      <c r="B7" s="3"/>
      <c r="C7" s="3"/>
      <c r="D7" s="3"/>
      <c r="E7" s="1"/>
    </row>
    <row r="8">
      <c r="A8" s="3" t="s">
        <v>10</v>
      </c>
      <c r="B8" s="3" t="s">
        <v>11</v>
      </c>
      <c r="C8" s="3" t="s">
        <v>12</v>
      </c>
      <c r="D8" s="3">
        <v>15000.0</v>
      </c>
      <c r="E8" s="1">
        <f>D8*50/100+D8</f>
        <v>22500</v>
      </c>
    </row>
    <row r="9">
      <c r="A9" s="1"/>
      <c r="B9" s="1"/>
      <c r="C9" s="1"/>
      <c r="D9" s="1"/>
      <c r="E9" s="1"/>
    </row>
    <row r="10">
      <c r="A10" s="1" t="s">
        <v>13</v>
      </c>
      <c r="B10" s="1" t="s">
        <v>14</v>
      </c>
      <c r="C10" s="1" t="s">
        <v>15</v>
      </c>
      <c r="D10" s="1">
        <v>2000.0</v>
      </c>
      <c r="E10" s="1">
        <f>D10*50/100+D10</f>
        <v>3000</v>
      </c>
    </row>
    <row r="11">
      <c r="A11" s="1" t="s">
        <v>16</v>
      </c>
      <c r="B11" s="1" t="s">
        <v>14</v>
      </c>
      <c r="C11" s="1" t="s">
        <v>17</v>
      </c>
      <c r="D11" s="2">
        <v>12500.0</v>
      </c>
      <c r="E11" s="1">
        <f>D11*20/100+D11</f>
        <v>15000</v>
      </c>
    </row>
    <row r="12">
      <c r="A12" s="1"/>
      <c r="B12" s="1"/>
      <c r="C12" s="1" t="s">
        <v>18</v>
      </c>
      <c r="D12" s="1">
        <f>SUM(D8:D11)</f>
        <v>29500</v>
      </c>
      <c r="E12" s="1">
        <f>SUM(E8,E10:E11)</f>
        <v>40500</v>
      </c>
    </row>
    <row r="13">
      <c r="A13" s="1"/>
      <c r="B13" s="1"/>
      <c r="C13" s="1" t="s">
        <v>19</v>
      </c>
      <c r="D13" s="1">
        <v>3000.0</v>
      </c>
      <c r="E13" s="1">
        <v>3000.0</v>
      </c>
    </row>
    <row r="14">
      <c r="A14" s="1"/>
      <c r="B14" s="1"/>
      <c r="C14" s="1" t="s">
        <v>20</v>
      </c>
      <c r="D14" s="1">
        <f t="shared" ref="D14:E14" si="2">SUM(D12:D13)</f>
        <v>32500</v>
      </c>
      <c r="E14" s="1">
        <f t="shared" si="2"/>
        <v>43500</v>
      </c>
    </row>
    <row r="15">
      <c r="A15" s="1" t="s">
        <v>21</v>
      </c>
      <c r="B15" s="1">
        <f>E14-D14</f>
        <v>11000</v>
      </c>
      <c r="C15" s="1"/>
      <c r="D15" s="1"/>
      <c r="E15" s="1"/>
    </row>
    <row r="16">
      <c r="A16" s="1" t="s">
        <v>22</v>
      </c>
      <c r="B16" s="1">
        <f>E12*20/100</f>
        <v>8100</v>
      </c>
      <c r="C16" s="1"/>
      <c r="D16" s="1"/>
      <c r="E16" s="1"/>
    </row>
    <row r="17">
      <c r="A17" s="1" t="s">
        <v>23</v>
      </c>
      <c r="B17" s="1">
        <f>SUM(B15:B16)</f>
        <v>19100</v>
      </c>
      <c r="C17" s="1"/>
      <c r="D17" s="1"/>
      <c r="E17" s="1"/>
    </row>
    <row r="18">
      <c r="A18" s="1" t="s">
        <v>24</v>
      </c>
      <c r="B18" s="1">
        <f>B17*20/100</f>
        <v>3820</v>
      </c>
      <c r="C18" s="1"/>
      <c r="D18" s="1"/>
      <c r="E18" s="1"/>
    </row>
    <row r="19">
      <c r="A19" s="1" t="s">
        <v>25</v>
      </c>
      <c r="B19" s="1">
        <f>B17-B18</f>
        <v>15280</v>
      </c>
      <c r="C19" s="1"/>
      <c r="D19" s="1"/>
      <c r="E19" s="1"/>
    </row>
    <row r="20">
      <c r="A20" s="1" t="s">
        <v>26</v>
      </c>
      <c r="B20" s="1">
        <f>SUM(E14,B16)</f>
        <v>51600</v>
      </c>
      <c r="C20" s="1"/>
      <c r="D20" s="1"/>
      <c r="E20" s="1"/>
    </row>
    <row r="21">
      <c r="A21" s="1" t="s">
        <v>27</v>
      </c>
      <c r="B21" s="1">
        <f>B20*15/100</f>
        <v>7740</v>
      </c>
      <c r="C21" s="1"/>
      <c r="D21" s="1"/>
      <c r="E21" s="1"/>
    </row>
    <row r="22">
      <c r="A22" s="1" t="s">
        <v>28</v>
      </c>
      <c r="B22" s="1">
        <f>SUM(B20:B21)</f>
        <v>59340</v>
      </c>
      <c r="C22" s="1"/>
      <c r="D22" s="1"/>
      <c r="E22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2020-04-21T11:53:33Z</dcterms:created>
  <dc:creator>Daniela Marano</dc:creator>
</cp:coreProperties>
</file>