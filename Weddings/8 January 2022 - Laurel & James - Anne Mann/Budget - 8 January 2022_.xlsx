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tc={85ee483a-a5fb-4d1f-87f9-f22452f1243c}</author>
  </authors>
  <commentList>
    <comment authorId="0" xr:uid="{85ee483a-a5fb-4d1f-87f9-f22452f1243c}" ref="E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Hi Dans, for the sake of clarity, please can you update the sheet to reflect that Nate is gonna do Dinner, and that I am being replaced on Dance, and that Nate is getting an extra 2K and we are splitting the balance, Thank you! I know you are busy, just trying to keep as much order as possible.
</t>
      </text>
    </comment>
  </commentList>
</comments>
</file>

<file path=xl/sharedStrings.xml><?xml version="1.0" encoding="utf-8"?>
<sst xmlns="http://schemas.openxmlformats.org/spreadsheetml/2006/main" count="57" uniqueCount="45">
  <si>
    <t xml:space="preserve">Budget - 8 January 2022 </t>
  </si>
  <si>
    <t>Set</t>
  </si>
  <si>
    <t>Musician Type</t>
  </si>
  <si>
    <t>Musician Name</t>
  </si>
  <si>
    <t>Rate</t>
  </si>
  <si>
    <t>Quoted Rate</t>
  </si>
  <si>
    <t>Guest arrivals: Option One</t>
  </si>
  <si>
    <t>African Solo</t>
  </si>
  <si>
    <t>Mapumba Cilombo Solo</t>
  </si>
  <si>
    <t>Ceremony</t>
  </si>
  <si>
    <t>Singer</t>
  </si>
  <si>
    <t xml:space="preserve">Ethan Florus </t>
  </si>
  <si>
    <t>Bass</t>
  </si>
  <si>
    <t>Nicholas Williams</t>
  </si>
  <si>
    <t>Percussion</t>
  </si>
  <si>
    <t>Kevin Gibson</t>
  </si>
  <si>
    <t>Pre-drinks</t>
  </si>
  <si>
    <t>Vocals</t>
  </si>
  <si>
    <t>Roland Nair</t>
  </si>
  <si>
    <t>Keys</t>
  </si>
  <si>
    <t>The Rivertones</t>
  </si>
  <si>
    <t>Guitar</t>
  </si>
  <si>
    <t>Dinner</t>
  </si>
  <si>
    <t>DJ</t>
  </si>
  <si>
    <t xml:space="preserve">Nathan Ambach </t>
  </si>
  <si>
    <t>Dance</t>
  </si>
  <si>
    <t>Nathan Ambach</t>
  </si>
  <si>
    <t xml:space="preserve">Francesca Biancoli </t>
  </si>
  <si>
    <t xml:space="preserve">Blake Hellaby </t>
  </si>
  <si>
    <t>Saxophone</t>
  </si>
  <si>
    <t xml:space="preserve">Marc De Kock </t>
  </si>
  <si>
    <t>Trumpet</t>
  </si>
  <si>
    <t xml:space="preserve">Marco Maritz </t>
  </si>
  <si>
    <t>Drums</t>
  </si>
  <si>
    <t>Party</t>
  </si>
  <si>
    <t>Total muscian expense</t>
  </si>
  <si>
    <t>Coordination</t>
  </si>
  <si>
    <t>Total expense</t>
  </si>
  <si>
    <t>Built in commission</t>
  </si>
  <si>
    <t>Booking fee - 20%</t>
  </si>
  <si>
    <t>Total commission</t>
  </si>
  <si>
    <t>Dani commission</t>
  </si>
  <si>
    <t>TON commission</t>
  </si>
  <si>
    <t>Total excluding VAT</t>
  </si>
  <si>
    <t xml:space="preserve">Deposit paid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</si>
</sst>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3" fillId="2" fontId="1" numFmtId="0" xfId="0" applyAlignment="1" applyBorder="1" applyFont="1">
      <alignment readingOrder="0" shrinkToFit="0" vertical="bottom" wrapText="0"/>
    </xf>
    <xf borderId="4" fillId="2" fontId="1" numFmtId="0" xfId="0" applyAlignment="1" applyBorder="1" applyFont="1">
      <alignment readingOrder="0" shrinkToFit="0" vertical="bottom" wrapText="0"/>
    </xf>
    <xf borderId="4" fillId="2" fontId="1" numFmtId="0" xfId="0" applyAlignment="1" applyBorder="1" applyFont="1">
      <alignment horizontal="right" readingOrder="0" shrinkToFit="0" vertical="bottom" wrapText="0"/>
    </xf>
    <xf borderId="3" fillId="2" fontId="1" numFmtId="0" xfId="0" applyAlignment="1" applyBorder="1" applyFont="1">
      <alignment shrinkToFit="0" vertical="bottom" wrapText="0"/>
    </xf>
    <xf borderId="4" fillId="2" fontId="1" numFmtId="0" xfId="0" applyAlignment="1" applyBorder="1" applyFont="1">
      <alignment shrinkToFit="0" vertical="bottom" wrapText="0"/>
    </xf>
    <xf borderId="4" fillId="2" fontId="1" numFmtId="0" xfId="0" applyAlignment="1" applyBorder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us Nerwich" id="{5af3d1c0-e218-4cff-a4cc-407998e49e4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6" dT="2022-03-10T20:04:58.00" personId="{5af3d1c0-e218-4cff-a4cc-407998e49e43}" id="{85ee483a-a5fb-4d1f-87f9-f22452f1243c}" done="0">
    <x18tc:text xml:space="preserve">Hi Dans, for the sake of clarity, please can you update the sheet to reflect that Nate is gonna do Dinner, and that I am being replaced on Dance, and that Nate is getting an extra 2K and we are splitting the balance, Thank you! I know you are busy, just trying to keep as much order as possible.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3" max="3" width="18.88"/>
  </cols>
  <sheetData>
    <row r="1">
      <c r="A1" s="1" t="s">
        <v>0</v>
      </c>
      <c r="B1" s="2"/>
      <c r="C1" s="2"/>
      <c r="D1" s="2"/>
      <c r="E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3" t="s">
        <v>6</v>
      </c>
      <c r="B3" s="4" t="s">
        <v>7</v>
      </c>
      <c r="C3" s="4" t="s">
        <v>8</v>
      </c>
      <c r="D3" s="5">
        <v>8000.0</v>
      </c>
      <c r="E3" s="5">
        <f>D3*20/100+D3</f>
        <v>9600</v>
      </c>
    </row>
    <row r="4">
      <c r="A4" s="6"/>
      <c r="B4" s="7"/>
      <c r="C4" s="7"/>
      <c r="D4" s="7"/>
      <c r="E4" s="5"/>
    </row>
    <row r="5">
      <c r="A5" s="3" t="s">
        <v>9</v>
      </c>
      <c r="B5" s="4" t="s">
        <v>10</v>
      </c>
      <c r="C5" s="4" t="s">
        <v>11</v>
      </c>
      <c r="D5" s="5">
        <v>3500.0</v>
      </c>
      <c r="E5" s="5">
        <f t="shared" ref="E5:E7" si="1">D5*20/100+D5</f>
        <v>4200</v>
      </c>
    </row>
    <row r="6">
      <c r="A6" s="6"/>
      <c r="B6" s="4" t="s">
        <v>12</v>
      </c>
      <c r="C6" s="4" t="s">
        <v>13</v>
      </c>
      <c r="D6" s="5">
        <v>2000.0</v>
      </c>
      <c r="E6" s="5">
        <f t="shared" si="1"/>
        <v>2400</v>
      </c>
    </row>
    <row r="7">
      <c r="A7" s="6"/>
      <c r="B7" s="4" t="s">
        <v>14</v>
      </c>
      <c r="C7" s="4" t="s">
        <v>15</v>
      </c>
      <c r="D7" s="5">
        <v>2000.0</v>
      </c>
      <c r="E7" s="5">
        <f t="shared" si="1"/>
        <v>2400</v>
      </c>
    </row>
    <row r="8">
      <c r="A8" s="6"/>
      <c r="B8" s="7"/>
      <c r="C8" s="7"/>
      <c r="D8" s="7">
        <f t="shared" ref="D8:E8" si="2">SUM(D5:D7)</f>
        <v>7500</v>
      </c>
      <c r="E8" s="5">
        <f t="shared" si="2"/>
        <v>9000</v>
      </c>
    </row>
    <row r="9">
      <c r="A9" s="3"/>
      <c r="B9" s="4"/>
      <c r="C9" s="4"/>
      <c r="D9" s="5"/>
      <c r="E9" s="5"/>
    </row>
    <row r="10">
      <c r="A10" s="3" t="s">
        <v>16</v>
      </c>
      <c r="B10" s="4" t="s">
        <v>17</v>
      </c>
      <c r="C10" s="4" t="s">
        <v>18</v>
      </c>
      <c r="D10" s="5">
        <v>3500.0</v>
      </c>
      <c r="E10" s="5">
        <v>5100.0</v>
      </c>
    </row>
    <row r="11">
      <c r="A11" s="6"/>
      <c r="B11" s="4" t="s">
        <v>19</v>
      </c>
      <c r="C11" s="4" t="s">
        <v>20</v>
      </c>
      <c r="D11" s="5">
        <v>3500.0</v>
      </c>
      <c r="E11" s="5">
        <v>5100.0</v>
      </c>
    </row>
    <row r="12">
      <c r="A12" s="6"/>
      <c r="B12" s="4" t="s">
        <v>12</v>
      </c>
      <c r="C12" s="4" t="s">
        <v>20</v>
      </c>
      <c r="D12" s="5">
        <v>3500.0</v>
      </c>
      <c r="E12" s="5">
        <v>5100.0</v>
      </c>
    </row>
    <row r="13">
      <c r="A13" s="6"/>
      <c r="B13" s="4" t="s">
        <v>21</v>
      </c>
      <c r="C13" s="4" t="s">
        <v>20</v>
      </c>
      <c r="D13" s="5">
        <v>3500.0</v>
      </c>
      <c r="E13" s="5">
        <v>5100.0</v>
      </c>
    </row>
    <row r="14">
      <c r="A14" s="6"/>
      <c r="B14" s="7"/>
      <c r="C14" s="7"/>
      <c r="D14" s="5">
        <v>12000.0</v>
      </c>
      <c r="E14" s="5">
        <f>SUM(E10:E13)</f>
        <v>20400</v>
      </c>
    </row>
    <row r="15">
      <c r="A15" s="6"/>
      <c r="B15" s="7"/>
      <c r="C15" s="7"/>
      <c r="D15" s="7"/>
      <c r="E15" s="5"/>
    </row>
    <row r="16">
      <c r="A16" s="3" t="s">
        <v>22</v>
      </c>
      <c r="B16" s="4" t="s">
        <v>23</v>
      </c>
      <c r="C16" s="4" t="s">
        <v>24</v>
      </c>
      <c r="D16" s="5">
        <v>2000.0</v>
      </c>
      <c r="E16" s="5">
        <v>4250.0</v>
      </c>
    </row>
    <row r="17">
      <c r="A17" s="6"/>
      <c r="B17" s="7"/>
      <c r="C17" s="7"/>
      <c r="D17" s="7"/>
      <c r="E17" s="5"/>
    </row>
    <row r="18">
      <c r="A18" s="3" t="s">
        <v>25</v>
      </c>
      <c r="B18" s="4" t="s">
        <v>17</v>
      </c>
      <c r="C18" s="4" t="s">
        <v>26</v>
      </c>
      <c r="D18" s="5">
        <v>5000.0</v>
      </c>
      <c r="E18" s="5">
        <f>D18*20/100+D18</f>
        <v>6000</v>
      </c>
    </row>
    <row r="19">
      <c r="A19" s="6"/>
      <c r="B19" s="4" t="s">
        <v>17</v>
      </c>
      <c r="C19" s="4" t="s">
        <v>27</v>
      </c>
      <c r="D19" s="5">
        <v>4000.0</v>
      </c>
      <c r="E19" s="5">
        <f t="shared" ref="E19:E21" si="3">D19*30/100+D19</f>
        <v>5200</v>
      </c>
    </row>
    <row r="20">
      <c r="A20" s="6"/>
      <c r="B20" s="4" t="s">
        <v>19</v>
      </c>
      <c r="C20" s="4" t="s">
        <v>28</v>
      </c>
      <c r="D20" s="5">
        <v>4000.0</v>
      </c>
      <c r="E20" s="5">
        <f t="shared" si="3"/>
        <v>5200</v>
      </c>
    </row>
    <row r="21">
      <c r="A21" s="6"/>
      <c r="B21" s="4" t="s">
        <v>12</v>
      </c>
      <c r="C21" s="4" t="s">
        <v>13</v>
      </c>
      <c r="D21" s="5">
        <v>4000.0</v>
      </c>
      <c r="E21" s="5">
        <f t="shared" si="3"/>
        <v>5200</v>
      </c>
    </row>
    <row r="22">
      <c r="A22" s="6"/>
      <c r="B22" s="4" t="s">
        <v>21</v>
      </c>
      <c r="C22" s="4"/>
      <c r="D22" s="5"/>
      <c r="E22" s="5">
        <v>5200.0</v>
      </c>
    </row>
    <row r="23">
      <c r="A23" s="6"/>
      <c r="B23" s="4" t="s">
        <v>29</v>
      </c>
      <c r="C23" s="4" t="s">
        <v>30</v>
      </c>
      <c r="D23" s="5">
        <v>4000.0</v>
      </c>
      <c r="E23" s="5">
        <f t="shared" ref="E23:E25" si="4">D23*30/100+D23</f>
        <v>5200</v>
      </c>
    </row>
    <row r="24">
      <c r="A24" s="6"/>
      <c r="B24" s="4" t="s">
        <v>31</v>
      </c>
      <c r="C24" s="4" t="s">
        <v>32</v>
      </c>
      <c r="D24" s="5">
        <v>4000.0</v>
      </c>
      <c r="E24" s="5">
        <f t="shared" si="4"/>
        <v>5200</v>
      </c>
    </row>
    <row r="25">
      <c r="A25" s="6"/>
      <c r="B25" s="4" t="s">
        <v>33</v>
      </c>
      <c r="C25" s="4" t="s">
        <v>15</v>
      </c>
      <c r="D25" s="5">
        <v>4000.0</v>
      </c>
      <c r="E25" s="5">
        <f t="shared" si="4"/>
        <v>5200</v>
      </c>
    </row>
    <row r="26">
      <c r="A26" s="6"/>
      <c r="B26" s="7"/>
      <c r="C26" s="7"/>
      <c r="D26" s="5">
        <f t="shared" ref="D26:E26" si="5">SUM(D18:D25)</f>
        <v>29000</v>
      </c>
      <c r="E26" s="5">
        <f t="shared" si="5"/>
        <v>42400</v>
      </c>
    </row>
    <row r="27">
      <c r="A27" s="6"/>
      <c r="B27" s="7"/>
      <c r="C27" s="7"/>
      <c r="D27" s="7"/>
      <c r="E27" s="7"/>
    </row>
    <row r="28">
      <c r="A28" s="3" t="s">
        <v>34</v>
      </c>
      <c r="B28" s="4" t="s">
        <v>23</v>
      </c>
      <c r="C28" s="4" t="s">
        <v>24</v>
      </c>
      <c r="D28" s="5">
        <v>15000.0</v>
      </c>
      <c r="E28" s="5">
        <v>15000.0</v>
      </c>
    </row>
    <row r="29">
      <c r="A29" s="6"/>
      <c r="B29" s="7"/>
      <c r="C29" s="7"/>
      <c r="D29" s="7"/>
      <c r="E29" s="7"/>
    </row>
    <row r="30">
      <c r="A30" s="6"/>
      <c r="B30" s="7"/>
      <c r="C30" s="4" t="s">
        <v>35</v>
      </c>
      <c r="D30" s="5">
        <f t="shared" ref="D30:E30" si="6">SUM(D3,D8,D14,D16,D26,D28)</f>
        <v>73500</v>
      </c>
      <c r="E30" s="5">
        <f t="shared" si="6"/>
        <v>100650</v>
      </c>
    </row>
    <row r="31">
      <c r="A31" s="6"/>
      <c r="B31" s="7"/>
      <c r="C31" s="4" t="s">
        <v>36</v>
      </c>
      <c r="D31" s="5">
        <v>3000.0</v>
      </c>
      <c r="E31" s="5">
        <v>3000.0</v>
      </c>
    </row>
    <row r="32">
      <c r="A32" s="6"/>
      <c r="B32" s="7"/>
      <c r="C32" s="4" t="s">
        <v>37</v>
      </c>
      <c r="D32" s="5">
        <f t="shared" ref="D32:E32" si="7">SUM(D30:D31)</f>
        <v>76500</v>
      </c>
      <c r="E32" s="5">
        <f t="shared" si="7"/>
        <v>103650</v>
      </c>
    </row>
    <row r="33">
      <c r="A33" s="3" t="s">
        <v>38</v>
      </c>
      <c r="B33" s="5">
        <f>E32-D32</f>
        <v>27150</v>
      </c>
      <c r="C33" s="7"/>
      <c r="D33" s="7"/>
      <c r="E33" s="7"/>
    </row>
    <row r="34">
      <c r="A34" s="3" t="s">
        <v>39</v>
      </c>
      <c r="B34" s="5">
        <f>E30*20/100</f>
        <v>20130</v>
      </c>
      <c r="C34" s="7"/>
      <c r="D34" s="7"/>
      <c r="E34" s="7"/>
    </row>
    <row r="35">
      <c r="A35" s="3" t="s">
        <v>40</v>
      </c>
      <c r="B35" s="5">
        <f>SUM(B33,B34)</f>
        <v>47280</v>
      </c>
      <c r="C35" s="7"/>
      <c r="D35" s="7"/>
      <c r="E35" s="7"/>
    </row>
    <row r="36">
      <c r="A36" s="3" t="s">
        <v>41</v>
      </c>
      <c r="B36" s="5">
        <f>B35/2</f>
        <v>23640</v>
      </c>
      <c r="C36" s="7"/>
      <c r="D36" s="7"/>
      <c r="E36" s="7"/>
    </row>
    <row r="37">
      <c r="A37" s="3" t="s">
        <v>42</v>
      </c>
      <c r="B37" s="5">
        <f>B35/2</f>
        <v>23640</v>
      </c>
      <c r="C37" s="7"/>
      <c r="D37" s="7"/>
      <c r="E37" s="7"/>
    </row>
    <row r="38">
      <c r="A38" s="3" t="s">
        <v>43</v>
      </c>
      <c r="B38" s="5">
        <f>SUM(E32,B34)</f>
        <v>123780</v>
      </c>
      <c r="C38" s="7"/>
      <c r="D38" s="7"/>
      <c r="E38" s="7"/>
    </row>
    <row r="39">
      <c r="A39" s="8" t="s">
        <v>44</v>
      </c>
      <c r="B39" s="5">
        <f>B38/2</f>
        <v>61890</v>
      </c>
      <c r="C39" s="5"/>
      <c r="D39" s="5"/>
      <c r="E39" s="5"/>
    </row>
  </sheetData>
  <drawing r:id="rId4"/>
  <legacyDrawing r:id="rId5"/>
</worksheet>
</file>