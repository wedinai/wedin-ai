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ised budget - 25 November " sheetId="1" r:id="rId4"/>
  </sheets>
  <definedNames/>
  <calcPr/>
  <extLst>
    <ext uri="GoogleSheetsCustomDataVersion1">
      <go:sheetsCustomData xmlns:go="http://customooxmlschemas.google.com/" r:id="rId5" roundtripDataSignature="AMtx7mgg/YVMUj70a0NUcqdYeMHwRhZYVw=="/>
    </ext>
  </extLst>
</workbook>
</file>

<file path=xl/sharedStrings.xml><?xml version="1.0" encoding="utf-8"?>
<sst xmlns="http://schemas.openxmlformats.org/spreadsheetml/2006/main" count="41" uniqueCount="37">
  <si>
    <t xml:space="preserve">Budget - 25 November 2021 </t>
  </si>
  <si>
    <t xml:space="preserve">Total musician expense excl. Rus Nerwich </t>
  </si>
  <si>
    <t xml:space="preserve">Set </t>
  </si>
  <si>
    <t>Musician Type</t>
  </si>
  <si>
    <t xml:space="preserve">Musician Name </t>
  </si>
  <si>
    <t>Rate</t>
  </si>
  <si>
    <t xml:space="preserve">Quoted Rate </t>
  </si>
  <si>
    <t xml:space="preserve">Pay in </t>
  </si>
  <si>
    <t xml:space="preserve">Guest arrivals </t>
  </si>
  <si>
    <t xml:space="preserve">Background music played through PA </t>
  </si>
  <si>
    <t>Pre-drinks</t>
  </si>
  <si>
    <t>DJ</t>
  </si>
  <si>
    <t xml:space="preserve">Rus Nerwich </t>
  </si>
  <si>
    <t xml:space="preserve">Dinner </t>
  </si>
  <si>
    <t xml:space="preserve">DJ </t>
  </si>
  <si>
    <t xml:space="preserve">Dance </t>
  </si>
  <si>
    <t xml:space="preserve">Vocals </t>
  </si>
  <si>
    <t xml:space="preserve">Nathan Ambach </t>
  </si>
  <si>
    <t>Francesca Biancoli</t>
  </si>
  <si>
    <t>Keys</t>
  </si>
  <si>
    <t xml:space="preserve">Blake Hellaby </t>
  </si>
  <si>
    <t xml:space="preserve">Bass </t>
  </si>
  <si>
    <t xml:space="preserve">Nicholas Williams </t>
  </si>
  <si>
    <t xml:space="preserve">Drums </t>
  </si>
  <si>
    <t>Kevin Gibson</t>
  </si>
  <si>
    <t>Party</t>
  </si>
  <si>
    <t xml:space="preserve">Total muscian expense </t>
  </si>
  <si>
    <t xml:space="preserve">Coordination </t>
  </si>
  <si>
    <t>Total expense</t>
  </si>
  <si>
    <t xml:space="preserve">Built in commission </t>
  </si>
  <si>
    <t>Booking fee - 20%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</si>
  <si>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</si>
  <si>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</si>
  <si>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</si>
  <si>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</si>
  <si>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Deposit payment received </t>
  </si>
  <si>
    <t xml:space="preserve">Balance of payment received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</si>
</sst>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8.5"/>
    <col customWidth="1" min="3" max="3" width="18.13"/>
    <col customWidth="1" min="4" max="4" width="7.63"/>
    <col customWidth="1" min="5" max="5" width="10.25"/>
    <col customWidth="1" min="6" max="6" width="7.63"/>
    <col customWidth="1" min="7" max="7" width="32.0"/>
    <col customWidth="1" min="8" max="26" width="7.63"/>
  </cols>
  <sheetData>
    <row r="1" ht="14.25" customHeight="1">
      <c r="A1" s="1" t="s">
        <v>0</v>
      </c>
      <c r="B1" s="1"/>
      <c r="C1" s="1"/>
      <c r="D1" s="1"/>
      <c r="E1" s="1"/>
      <c r="G1" s="2" t="s">
        <v>1</v>
      </c>
      <c r="H1" s="3">
        <f>SUM(D9,D10:D13,D16,D19,B25)</f>
        <v>42840</v>
      </c>
    </row>
    <row r="2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2" t="s">
        <v>7</v>
      </c>
      <c r="H2" s="3">
        <f>H1-B29</f>
        <v>12000</v>
      </c>
    </row>
    <row r="3" ht="14.25" customHeight="1">
      <c r="A3" s="1" t="s">
        <v>8</v>
      </c>
      <c r="B3" s="1" t="s">
        <v>9</v>
      </c>
      <c r="C3" s="1"/>
      <c r="D3" s="1"/>
      <c r="E3" s="1"/>
    </row>
    <row r="4" ht="14.25" customHeight="1">
      <c r="A4" s="1" t="s">
        <v>10</v>
      </c>
      <c r="B4" s="1" t="s">
        <v>11</v>
      </c>
      <c r="C4" s="1" t="s">
        <v>12</v>
      </c>
      <c r="D4" s="1">
        <f>2000*2</f>
        <v>4000</v>
      </c>
      <c r="E4" s="1">
        <f>D4*50/100+D4</f>
        <v>6000</v>
      </c>
    </row>
    <row r="5" ht="14.25" customHeight="1">
      <c r="A5" s="1"/>
      <c r="B5" s="1"/>
      <c r="C5" s="1"/>
      <c r="D5" s="1">
        <f t="shared" ref="D5:E5" si="1">SUM(D4)</f>
        <v>4000</v>
      </c>
      <c r="E5" s="1">
        <f t="shared" si="1"/>
        <v>6000</v>
      </c>
    </row>
    <row r="6" ht="14.25" customHeight="1">
      <c r="A6" s="1"/>
      <c r="B6" s="1"/>
      <c r="C6" s="1"/>
      <c r="D6" s="1"/>
      <c r="E6" s="1"/>
    </row>
    <row r="7" ht="14.25" customHeight="1">
      <c r="A7" s="1" t="s">
        <v>13</v>
      </c>
      <c r="B7" s="1" t="s">
        <v>14</v>
      </c>
      <c r="C7" s="1" t="s">
        <v>12</v>
      </c>
      <c r="D7" s="1">
        <v>2000.0</v>
      </c>
      <c r="E7" s="1">
        <v>2000.0</v>
      </c>
    </row>
    <row r="8" ht="14.25" customHeight="1">
      <c r="A8" s="1"/>
      <c r="B8" s="1"/>
      <c r="C8" s="1"/>
      <c r="D8" s="1"/>
      <c r="E8" s="1"/>
    </row>
    <row r="9" ht="14.25" customHeight="1">
      <c r="A9" s="1" t="s">
        <v>15</v>
      </c>
      <c r="B9" s="1" t="s">
        <v>16</v>
      </c>
      <c r="C9" s="1" t="s">
        <v>17</v>
      </c>
      <c r="D9" s="1">
        <v>5000.0</v>
      </c>
      <c r="E9" s="1">
        <f t="shared" ref="E9:E13" si="2">D9*70/100+D9</f>
        <v>8500</v>
      </c>
    </row>
    <row r="10" ht="14.25" customHeight="1">
      <c r="A10" s="1"/>
      <c r="B10" s="1" t="s">
        <v>16</v>
      </c>
      <c r="C10" s="1" t="s">
        <v>18</v>
      </c>
      <c r="D10" s="1">
        <v>3000.0</v>
      </c>
      <c r="E10" s="1">
        <f t="shared" si="2"/>
        <v>5100</v>
      </c>
    </row>
    <row r="11" ht="14.25" customHeight="1">
      <c r="A11" s="1"/>
      <c r="B11" s="1" t="s">
        <v>19</v>
      </c>
      <c r="C11" s="4" t="s">
        <v>20</v>
      </c>
      <c r="D11" s="1">
        <v>3000.0</v>
      </c>
      <c r="E11" s="1">
        <f t="shared" si="2"/>
        <v>5100</v>
      </c>
    </row>
    <row r="12" ht="14.25" customHeight="1">
      <c r="A12" s="1"/>
      <c r="B12" s="1" t="s">
        <v>21</v>
      </c>
      <c r="C12" s="1" t="s">
        <v>22</v>
      </c>
      <c r="D12" s="1">
        <v>3000.0</v>
      </c>
      <c r="E12" s="1">
        <f t="shared" si="2"/>
        <v>5100</v>
      </c>
    </row>
    <row r="13" ht="14.25" customHeight="1">
      <c r="A13" s="1"/>
      <c r="B13" s="1" t="s">
        <v>23</v>
      </c>
      <c r="C13" s="1" t="s">
        <v>24</v>
      </c>
      <c r="D13" s="1">
        <v>3000.0</v>
      </c>
      <c r="E13" s="1">
        <f t="shared" si="2"/>
        <v>5100</v>
      </c>
    </row>
    <row r="14" ht="14.25" customHeight="1">
      <c r="A14" s="1"/>
      <c r="B14" s="1"/>
      <c r="C14" s="1"/>
      <c r="D14" s="1">
        <f t="shared" ref="D14:E14" si="3">SUM(D9:D13)</f>
        <v>17000</v>
      </c>
      <c r="E14" s="1">
        <f t="shared" si="3"/>
        <v>28900</v>
      </c>
    </row>
    <row r="15" ht="14.25" customHeight="1">
      <c r="A15" s="1"/>
      <c r="B15" s="1"/>
      <c r="C15" s="1"/>
      <c r="D15" s="1"/>
      <c r="E15" s="1"/>
    </row>
    <row r="16" ht="14.25" customHeight="1">
      <c r="A16" s="1" t="s">
        <v>25</v>
      </c>
      <c r="B16" s="1" t="s">
        <v>14</v>
      </c>
      <c r="C16" s="1" t="s">
        <v>17</v>
      </c>
      <c r="D16" s="1">
        <v>10000.0</v>
      </c>
      <c r="E16" s="1">
        <f>D16*20/100+D16</f>
        <v>12000</v>
      </c>
    </row>
    <row r="17" ht="14.25" customHeight="1">
      <c r="A17" s="1"/>
      <c r="B17" s="1"/>
      <c r="C17" s="1"/>
      <c r="D17" s="1"/>
      <c r="E17" s="1"/>
    </row>
    <row r="18" ht="14.25" customHeight="1">
      <c r="A18" s="1"/>
      <c r="B18" s="1"/>
      <c r="C18" s="1" t="s">
        <v>26</v>
      </c>
      <c r="D18" s="1">
        <f>SUM(D4,D7,D9:D13,D16)</f>
        <v>33000</v>
      </c>
      <c r="E18" s="1">
        <f>SUM(E5,E7,E14,E16)</f>
        <v>48900</v>
      </c>
    </row>
    <row r="19" ht="14.25" customHeight="1">
      <c r="A19" s="1"/>
      <c r="B19" s="1"/>
      <c r="C19" s="1" t="s">
        <v>27</v>
      </c>
      <c r="D19" s="1">
        <v>3000.0</v>
      </c>
      <c r="E19" s="1">
        <v>3000.0</v>
      </c>
    </row>
    <row r="20" ht="14.25" customHeight="1">
      <c r="A20" s="1"/>
      <c r="B20" s="1"/>
      <c r="C20" s="1" t="s">
        <v>28</v>
      </c>
      <c r="D20" s="1">
        <f t="shared" ref="D20:E20" si="4">SUM(D18:D19)</f>
        <v>36000</v>
      </c>
      <c r="E20" s="1">
        <f t="shared" si="4"/>
        <v>51900</v>
      </c>
    </row>
    <row r="21" ht="14.25" customHeight="1">
      <c r="A21" s="1"/>
      <c r="B21" s="1"/>
      <c r="C21" s="1"/>
      <c r="D21" s="1"/>
      <c r="E21" s="1"/>
    </row>
    <row r="22" ht="14.25" customHeight="1">
      <c r="A22" s="1" t="s">
        <v>29</v>
      </c>
      <c r="B22" s="1">
        <f>E20-D20</f>
        <v>15900</v>
      </c>
      <c r="C22" s="1"/>
      <c r="D22" s="1"/>
      <c r="E22" s="1"/>
    </row>
    <row r="23" ht="14.25" customHeight="1">
      <c r="A23" s="1" t="s">
        <v>30</v>
      </c>
      <c r="B23" s="1">
        <f>E18*20/100</f>
        <v>9780</v>
      </c>
      <c r="C23" s="1"/>
      <c r="D23" s="1"/>
      <c r="E23" s="1"/>
    </row>
    <row r="24" ht="14.25" customHeight="1">
      <c r="A24" s="1" t="s">
        <v>31</v>
      </c>
      <c r="B24" s="1">
        <f>SUM(B22:B23)</f>
        <v>25680</v>
      </c>
      <c r="C24" s="1"/>
      <c r="D24" s="1"/>
      <c r="E24" s="1"/>
    </row>
    <row r="25" ht="14.25" customHeight="1">
      <c r="A25" s="1" t="s">
        <v>32</v>
      </c>
      <c r="B25" s="1">
        <f>B24/2</f>
        <v>12840</v>
      </c>
      <c r="C25" s="1">
        <f>SUM(B25,D19)</f>
        <v>15840</v>
      </c>
      <c r="D25" s="1"/>
      <c r="E25" s="1"/>
    </row>
    <row r="26" ht="14.25" customHeight="1">
      <c r="A26" s="1" t="s">
        <v>33</v>
      </c>
      <c r="B26" s="1">
        <f>B24-B25</f>
        <v>12840</v>
      </c>
      <c r="C26" s="1"/>
      <c r="D26" s="1"/>
      <c r="E26" s="1"/>
    </row>
    <row r="27" ht="14.25" customHeight="1">
      <c r="A27" s="1" t="s">
        <v>34</v>
      </c>
      <c r="B27" s="1">
        <f>SUM(E20,B23)</f>
        <v>61680</v>
      </c>
      <c r="C27" s="1"/>
      <c r="D27" s="1"/>
      <c r="E27" s="1"/>
    </row>
    <row r="28" ht="14.25" customHeight="1">
      <c r="A28" s="5" t="s">
        <v>35</v>
      </c>
      <c r="B28" s="6">
        <f>B27/2</f>
        <v>30840</v>
      </c>
      <c r="C28" s="6"/>
      <c r="D28" s="6"/>
      <c r="E28" s="6"/>
    </row>
    <row r="29" ht="14.25" customHeight="1">
      <c r="A29" s="5" t="s">
        <v>36</v>
      </c>
      <c r="B29" s="6">
        <f>B27-B28</f>
        <v>30840</v>
      </c>
      <c r="C29" s="6"/>
      <c r="D29" s="6"/>
      <c r="E29" s="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2021-03-05T14:58:53Z</dcterms:created>
  <dc:creator>User</dc:creator>
</cp:coreProperties>
</file>