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llENoGbI4Av9tS/K/40FSdtcZBA=="/>
    </ext>
  </extLst>
</workbook>
</file>

<file path=xl/sharedStrings.xml><?xml version="1.0" encoding="utf-8"?>
<sst xmlns="http://schemas.openxmlformats.org/spreadsheetml/2006/main" count="33" uniqueCount="31">
  <si>
    <t xml:space="preserve">Budget - 15 December 2021 </t>
  </si>
  <si>
    <t xml:space="preserve">Set </t>
  </si>
  <si>
    <t xml:space="preserve">Musician Type </t>
  </si>
  <si>
    <t xml:space="preserve">Musician Name </t>
  </si>
  <si>
    <t>Rate</t>
  </si>
  <si>
    <t>Quoted Rate</t>
  </si>
  <si>
    <t xml:space="preserve">Pre-drinks </t>
  </si>
  <si>
    <t xml:space="preserve">DJ </t>
  </si>
  <si>
    <t xml:space="preserve">Colin Sher </t>
  </si>
  <si>
    <t xml:space="preserve">Dinner </t>
  </si>
  <si>
    <t xml:space="preserve">Vocals </t>
  </si>
  <si>
    <t xml:space="preserve">Nathan Ambach </t>
  </si>
  <si>
    <t xml:space="preserve">Keys </t>
  </si>
  <si>
    <t>Blake Hellaby</t>
  </si>
  <si>
    <t xml:space="preserve">Bass </t>
  </si>
  <si>
    <t xml:space="preserve">Nicholas Williams </t>
  </si>
  <si>
    <t xml:space="preserve">Guitar </t>
  </si>
  <si>
    <t xml:space="preserve">Angelo Syster </t>
  </si>
  <si>
    <t xml:space="preserve">Drums </t>
  </si>
  <si>
    <t xml:space="preserve">Jonno Sweetman </t>
  </si>
  <si>
    <t xml:space="preserve">Party </t>
  </si>
  <si>
    <t>Total musician expense</t>
  </si>
  <si>
    <t>Total expense</t>
  </si>
  <si>
    <t>Built in commission</t>
  </si>
  <si>
    <t>Booking fee - 20%</t>
  </si>
  <si>
    <t>Total commission</t>
  </si>
  <si>
    <t>Dani commission</t>
  </si>
  <si>
    <t>TON commission</t>
  </si>
  <si>
    <t>Total excluding VAT</t>
  </si>
  <si>
    <t>Deposit received</t>
  </si>
  <si>
    <t>Balance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</si>
</sst>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sz val="11.0"/>
      <color theme="1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2.0"/>
    <col customWidth="1" min="3" max="3" width="15.38"/>
    <col customWidth="1" min="4" max="4" width="7.63"/>
    <col customWidth="1" min="5" max="5" width="10.38"/>
    <col customWidth="1" min="6" max="6" width="9.88"/>
    <col customWidth="1" min="7" max="27" width="7.63"/>
  </cols>
  <sheetData>
    <row r="1" ht="14.25" customHeight="1">
      <c r="A1" s="1" t="s">
        <v>0</v>
      </c>
      <c r="B1" s="1"/>
      <c r="C1" s="1"/>
      <c r="D1" s="1"/>
      <c r="E1" s="1"/>
      <c r="F1" s="1"/>
    </row>
    <row r="2" ht="14.2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3" ht="14.25" customHeight="1">
      <c r="A3" s="2" t="s">
        <v>6</v>
      </c>
      <c r="B3" s="2" t="s">
        <v>7</v>
      </c>
      <c r="C3" s="2" t="s">
        <v>8</v>
      </c>
      <c r="D3" s="2">
        <v>5000.0</v>
      </c>
      <c r="E3" s="2">
        <v>5000.0</v>
      </c>
    </row>
    <row r="4" ht="14.25" customHeight="1">
      <c r="A4" s="1"/>
      <c r="B4" s="1"/>
      <c r="C4" s="2"/>
      <c r="D4" s="1"/>
      <c r="E4" s="1"/>
    </row>
    <row r="5" ht="14.25" customHeight="1">
      <c r="A5" s="1"/>
      <c r="B5" s="1"/>
      <c r="C5" s="2"/>
      <c r="D5" s="1"/>
      <c r="E5" s="1"/>
    </row>
    <row r="6" ht="14.25" customHeight="1">
      <c r="A6" s="1" t="s">
        <v>9</v>
      </c>
      <c r="B6" s="2" t="s">
        <v>10</v>
      </c>
      <c r="C6" s="2" t="s">
        <v>11</v>
      </c>
      <c r="D6" s="2">
        <v>7500.0</v>
      </c>
      <c r="E6" s="1">
        <f>D6*20/100+D6</f>
        <v>9000</v>
      </c>
    </row>
    <row r="7" ht="14.25" customHeight="1">
      <c r="A7" s="1"/>
      <c r="B7" s="2" t="s">
        <v>12</v>
      </c>
      <c r="C7" s="3" t="s">
        <v>13</v>
      </c>
      <c r="D7" s="2">
        <v>3500.0</v>
      </c>
      <c r="E7" s="2">
        <v>4500.0</v>
      </c>
    </row>
    <row r="8" ht="14.25" customHeight="1">
      <c r="A8" s="1"/>
      <c r="B8" s="2" t="s">
        <v>14</v>
      </c>
      <c r="C8" s="2" t="s">
        <v>15</v>
      </c>
      <c r="D8" s="2">
        <v>3500.0</v>
      </c>
      <c r="E8" s="2">
        <v>4500.0</v>
      </c>
    </row>
    <row r="9" ht="14.25" customHeight="1">
      <c r="A9" s="1"/>
      <c r="B9" s="2" t="s">
        <v>16</v>
      </c>
      <c r="C9" s="2" t="s">
        <v>17</v>
      </c>
      <c r="D9" s="2">
        <v>3500.0</v>
      </c>
      <c r="E9" s="2">
        <v>4500.0</v>
      </c>
    </row>
    <row r="10" ht="14.25" customHeight="1">
      <c r="A10" s="1"/>
      <c r="B10" s="2" t="s">
        <v>18</v>
      </c>
      <c r="C10" s="2" t="s">
        <v>19</v>
      </c>
      <c r="D10" s="2">
        <v>3500.0</v>
      </c>
      <c r="E10" s="2">
        <v>4500.0</v>
      </c>
    </row>
    <row r="11" ht="14.25" customHeight="1">
      <c r="A11" s="1"/>
      <c r="B11" s="1"/>
      <c r="C11" s="1"/>
      <c r="D11" s="1">
        <f t="shared" ref="D11:E11" si="1">SUM(D6:D10)</f>
        <v>21500</v>
      </c>
      <c r="E11" s="1">
        <f t="shared" si="1"/>
        <v>27000</v>
      </c>
    </row>
    <row r="12" ht="14.25" customHeight="1">
      <c r="A12" s="2"/>
      <c r="B12" s="2"/>
      <c r="C12" s="2"/>
      <c r="D12" s="2"/>
      <c r="E12" s="1"/>
    </row>
    <row r="13" ht="14.25" customHeight="1">
      <c r="A13" s="2" t="s">
        <v>20</v>
      </c>
      <c r="B13" s="2" t="s">
        <v>7</v>
      </c>
      <c r="C13" s="2" t="s">
        <v>11</v>
      </c>
      <c r="D13" s="2">
        <v>7500.0</v>
      </c>
      <c r="E13" s="2">
        <v>7500.0</v>
      </c>
    </row>
    <row r="14" ht="14.25" customHeight="1">
      <c r="A14" s="1"/>
      <c r="B14" s="1"/>
      <c r="C14" s="1"/>
      <c r="D14" s="1"/>
      <c r="E14" s="1"/>
    </row>
    <row r="15" ht="14.25" customHeight="1">
      <c r="A15" s="1"/>
      <c r="B15" s="1"/>
      <c r="C15" s="2" t="s">
        <v>21</v>
      </c>
      <c r="D15" s="1">
        <f t="shared" ref="D15:E15" si="2">SUM(D3,D11,D13)</f>
        <v>34000</v>
      </c>
      <c r="E15" s="1">
        <f t="shared" si="2"/>
        <v>39500</v>
      </c>
    </row>
    <row r="16" ht="14.25" customHeight="1">
      <c r="A16" s="1"/>
      <c r="B16" s="1"/>
      <c r="C16" s="3"/>
      <c r="D16" s="3"/>
      <c r="E16" s="3"/>
    </row>
    <row r="17" ht="14.25" customHeight="1">
      <c r="A17" s="1"/>
      <c r="B17" s="1"/>
      <c r="C17" s="3" t="s">
        <v>22</v>
      </c>
      <c r="D17" s="1">
        <f t="shared" ref="D17:E17" si="3">SUM(D15:D16)</f>
        <v>34000</v>
      </c>
      <c r="E17" s="1">
        <f t="shared" si="3"/>
        <v>39500</v>
      </c>
    </row>
    <row r="18" ht="14.25" customHeight="1">
      <c r="A18" s="1"/>
      <c r="B18" s="1"/>
      <c r="C18" s="1"/>
      <c r="D18" s="1"/>
      <c r="E18" s="1"/>
    </row>
    <row r="19" ht="14.25" customHeight="1">
      <c r="A19" s="2" t="s">
        <v>23</v>
      </c>
      <c r="B19" s="2">
        <f>E17-D17</f>
        <v>5500</v>
      </c>
      <c r="C19" s="1"/>
      <c r="D19" s="1"/>
      <c r="E19" s="1"/>
    </row>
    <row r="20" ht="14.25" customHeight="1">
      <c r="A20" s="4" t="s">
        <v>24</v>
      </c>
      <c r="B20" s="4">
        <f>E15*20/100</f>
        <v>7900</v>
      </c>
    </row>
    <row r="21" ht="14.25" customHeight="1">
      <c r="A21" s="4" t="s">
        <v>25</v>
      </c>
      <c r="B21" s="4">
        <f>SUM(B19:B20)</f>
        <v>13400</v>
      </c>
    </row>
    <row r="22" ht="14.25" customHeight="1">
      <c r="A22" s="4" t="s">
        <v>26</v>
      </c>
      <c r="B22" s="5">
        <f>B21*50/100</f>
        <v>6700</v>
      </c>
    </row>
    <row r="23" ht="14.25" customHeight="1">
      <c r="A23" s="4" t="s">
        <v>27</v>
      </c>
      <c r="B23" s="4">
        <f>B21*50/100</f>
        <v>6700</v>
      </c>
    </row>
    <row r="24" ht="14.25" customHeight="1">
      <c r="A24" s="4" t="s">
        <v>28</v>
      </c>
      <c r="B24" s="4">
        <f>SUM(E17,B20)</f>
        <v>47400</v>
      </c>
    </row>
    <row r="25" ht="14.25" customHeight="1">
      <c r="A25" s="4" t="s">
        <v>29</v>
      </c>
      <c r="B25" s="4">
        <v>12675.0</v>
      </c>
    </row>
    <row r="26" ht="14.25" customHeight="1">
      <c r="A26" s="4" t="s">
        <v>30</v>
      </c>
      <c r="B26" s="4">
        <v>38025.0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2020-12-21T05:03:20Z</dcterms:created>
  <dc:creator>User</dc:creator>
</cp:coreProperties>
</file>