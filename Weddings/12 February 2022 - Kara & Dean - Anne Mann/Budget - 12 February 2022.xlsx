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budget - 12 February 20" sheetId="1" r:id="rId4"/>
    <sheet state="visible" name="Original budget - 12 February 2" sheetId="2" r:id="rId5"/>
  </sheets>
  <definedNames/>
  <calcPr/>
  <extLst>
    <ext uri="GoogleSheetsCustomDataVersion1">
      <go:sheetsCustomData xmlns:go="http://customooxmlschemas.google.com/" r:id="rId6" roundtripDataSignature="AMtx7miyHaHMF6INC93w/m0UPe07oD2mm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1">
      <text>
        <t xml:space="preserve">======
ID#AAAAQQpt_TM
Rus Nerwich    (2021-10-29 18:54:09)
@daniela148@gmail.com Has this deposit been paid? I cant find any indication on this or the TON essentials sheet which is completely blank with respect to this job. nor this sheet. Please clarify?
_Assigned to Daniela Marano_
------
ID#AAAAQQpt_TQ
Tones of Note    (2021-10-29 19:07:53)
This has been paid.
For me writing this in as the deposit payment with the amount is how I record the deposit payment.
------
ID#AAAAQQpt_TU
Tones of Note    (2021-10-29 19:18:52)
The client only paid the deposit yesterday, I've just forwarded the email thread to you.
------
ID#AAAAQQpt_TY
Rus Nerwich    (2021-10-29 19:36:44)
Thanks for the update, it was inconsistent with all the other jobs on the TON essential sheet which is what I was confused.</t>
      </text>
    </comment>
  </commentList>
  <extLst>
    <ext uri="GoogleSheetsCustomDataVersion1">
      <go:sheetsCustomData xmlns:go="http://customooxmlschemas.google.com/" r:id="rId1" roundtripDataSignature="AMtx7mg8uyeOVj/MuR3dMJ6Ay6GQbHT4cw=="/>
    </ext>
  </extLst>
</comments>
</file>

<file path=xl/sharedStrings.xml><?xml version="1.0" encoding="utf-8"?>
<sst xmlns="http://schemas.openxmlformats.org/spreadsheetml/2006/main" count="93" uniqueCount="59">
  <si>
    <t>Budget - 12 February 2022</t>
  </si>
  <si>
    <t xml:space="preserve">Luca 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</si>
  <si>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</si>
  <si>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</si>
  <si>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</si>
  <si>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</si>
  <si>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</si>
  <si>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>Pre-ceremony</t>
  </si>
  <si>
    <t xml:space="preserve">Violin + Backing Tracks </t>
  </si>
  <si>
    <t xml:space="preserve">Luca Hart </t>
  </si>
  <si>
    <t xml:space="preserve">Ceremony </t>
  </si>
  <si>
    <t xml:space="preserve">Solo vocals + guitar </t>
  </si>
  <si>
    <t>Lize Mynhardt</t>
  </si>
  <si>
    <t xml:space="preserve">Pre-drinks: Option Three </t>
  </si>
  <si>
    <t xml:space="preserve">Vocals </t>
  </si>
  <si>
    <t xml:space="preserve">Nathan Ambach </t>
  </si>
  <si>
    <t>Keys</t>
  </si>
  <si>
    <t xml:space="preserve">Blake Hellaby </t>
  </si>
  <si>
    <t xml:space="preserve">Bass </t>
  </si>
  <si>
    <t>Wes Rustin</t>
  </si>
  <si>
    <t xml:space="preserve">Drums </t>
  </si>
  <si>
    <t xml:space="preserve">Graham Ward </t>
  </si>
  <si>
    <t xml:space="preserve">Guitar </t>
  </si>
  <si>
    <t xml:space="preserve">Put to Il Afro Suns </t>
  </si>
  <si>
    <t xml:space="preserve">Dinner </t>
  </si>
  <si>
    <t xml:space="preserve">Solo Vocals + Guitar </t>
  </si>
  <si>
    <t xml:space="preserve">Party </t>
  </si>
  <si>
    <t xml:space="preserve">DJ </t>
  </si>
  <si>
    <t>Nathan Ambach</t>
  </si>
  <si>
    <t xml:space="preserve">Saxophone </t>
  </si>
  <si>
    <t xml:space="preserve">TBC </t>
  </si>
  <si>
    <t xml:space="preserve">Trumpet </t>
  </si>
  <si>
    <t>Lee Thomson</t>
  </si>
  <si>
    <t>Percussion</t>
  </si>
  <si>
    <t xml:space="preserve">John Hassan </t>
  </si>
  <si>
    <t xml:space="preserve">Option Two </t>
  </si>
  <si>
    <t xml:space="preserve">Total musician expense </t>
  </si>
  <si>
    <t xml:space="preserve">Coordination </t>
  </si>
  <si>
    <t xml:space="preserve">Total expense </t>
  </si>
  <si>
    <t xml:space="preserve">Option One </t>
  </si>
  <si>
    <t xml:space="preserve">Built in commission </t>
  </si>
  <si>
    <t xml:space="preserve">Booking fee - 20% 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</si>
  <si>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</si>
  <si>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</si>
  <si>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</si>
  <si>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</si>
  <si>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Deposit payment </t>
  </si>
  <si>
    <t xml:space="preserve">Balance of payment </t>
  </si>
  <si>
    <t xml:space="preserve">Mischa Smith </t>
  </si>
  <si>
    <t xml:space="preserve">Pre-drinks: Option One </t>
  </si>
  <si>
    <t xml:space="preserve">Rus Nerwich </t>
  </si>
  <si>
    <t xml:space="preserve">Lee Thomson </t>
  </si>
  <si>
    <t xml:space="preserve">Dance: Option Two </t>
  </si>
  <si>
    <t xml:space="preserve">Vocals + Guitar </t>
  </si>
  <si>
    <t xml:space="preserve">Lize Mynhardt </t>
  </si>
  <si>
    <t xml:space="preserve">Keys </t>
  </si>
  <si>
    <t xml:space="preserve">Andrew Ford </t>
  </si>
  <si>
    <t xml:space="preserve">Nicholas Williams </t>
  </si>
  <si>
    <t xml:space="preserve">Kevin Gibson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</si>
</sst>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6.13"/>
    <col customWidth="1" min="3" max="3" width="19.75"/>
    <col customWidth="1" min="4" max="4" width="7.63"/>
    <col customWidth="1" min="5" max="5" width="11.0"/>
    <col customWidth="1" min="6" max="26" width="7.63"/>
  </cols>
  <sheetData>
    <row r="1">
      <c r="A1" s="1" t="s">
        <v>0</v>
      </c>
      <c r="B1" s="1"/>
      <c r="C1" s="1"/>
      <c r="D1" s="1"/>
      <c r="E1" s="1"/>
      <c r="G1" s="2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3" t="s">
        <v>7</v>
      </c>
      <c r="B3" s="2" t="s">
        <v>8</v>
      </c>
      <c r="C3" s="3" t="s">
        <v>9</v>
      </c>
      <c r="D3" s="3">
        <v>3500.0</v>
      </c>
      <c r="E3" s="3">
        <v>3500.0</v>
      </c>
    </row>
    <row r="4">
      <c r="A4" s="1"/>
      <c r="B4" s="3"/>
      <c r="C4" s="3"/>
      <c r="D4" s="3"/>
      <c r="E4" s="3"/>
    </row>
    <row r="5">
      <c r="A5" s="1"/>
      <c r="B5" s="1"/>
      <c r="C5" s="3"/>
      <c r="D5" s="3"/>
      <c r="E5" s="1"/>
    </row>
    <row r="6">
      <c r="A6" s="1" t="s">
        <v>10</v>
      </c>
      <c r="B6" s="1" t="s">
        <v>11</v>
      </c>
      <c r="C6" s="3" t="s">
        <v>12</v>
      </c>
      <c r="D6" s="3">
        <v>5000.0</v>
      </c>
      <c r="E6" s="1">
        <v>6000.0</v>
      </c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3" t="s">
        <v>13</v>
      </c>
      <c r="B9" s="3" t="s">
        <v>14</v>
      </c>
      <c r="C9" s="3" t="s">
        <v>15</v>
      </c>
      <c r="D9" s="3">
        <v>10000.0</v>
      </c>
      <c r="E9" s="3">
        <f t="shared" ref="E9:E12" si="1">D9*20/100+D9</f>
        <v>12000</v>
      </c>
    </row>
    <row r="10">
      <c r="A10" s="1"/>
      <c r="B10" s="3" t="s">
        <v>16</v>
      </c>
      <c r="C10" s="3" t="s">
        <v>17</v>
      </c>
      <c r="D10" s="3">
        <v>3000.0</v>
      </c>
      <c r="E10" s="3">
        <f t="shared" si="1"/>
        <v>3600</v>
      </c>
    </row>
    <row r="11">
      <c r="A11" s="1"/>
      <c r="B11" s="3" t="s">
        <v>18</v>
      </c>
      <c r="C11" s="3" t="s">
        <v>19</v>
      </c>
      <c r="D11" s="3">
        <v>3000.0</v>
      </c>
      <c r="E11" s="3">
        <f t="shared" si="1"/>
        <v>3600</v>
      </c>
    </row>
    <row r="12">
      <c r="A12" s="1"/>
      <c r="B12" s="3" t="s">
        <v>20</v>
      </c>
      <c r="C12" s="3" t="s">
        <v>21</v>
      </c>
      <c r="D12" s="3">
        <v>3000.0</v>
      </c>
      <c r="E12" s="3">
        <f t="shared" si="1"/>
        <v>3600</v>
      </c>
    </row>
    <row r="13">
      <c r="A13" s="1"/>
      <c r="B13" s="3" t="s">
        <v>22</v>
      </c>
      <c r="C13" s="3" t="s">
        <v>23</v>
      </c>
      <c r="D13" s="3">
        <v>2900.0</v>
      </c>
      <c r="E13" s="3">
        <v>3600.0</v>
      </c>
    </row>
    <row r="14">
      <c r="A14" s="1"/>
      <c r="B14" s="3"/>
      <c r="C14" s="3"/>
      <c r="D14" s="3"/>
      <c r="E14" s="3">
        <f>SUM(E9:E13)</f>
        <v>26400</v>
      </c>
    </row>
    <row r="15">
      <c r="A15" s="1"/>
      <c r="B15" s="3"/>
      <c r="C15" s="3"/>
      <c r="D15" s="3"/>
      <c r="E15" s="3"/>
    </row>
    <row r="16">
      <c r="A16" s="1" t="s">
        <v>24</v>
      </c>
      <c r="B16" s="3" t="s">
        <v>25</v>
      </c>
      <c r="C16" s="3" t="s">
        <v>12</v>
      </c>
      <c r="D16" s="3">
        <v>5000.0</v>
      </c>
      <c r="E16" s="3">
        <v>6000.0</v>
      </c>
    </row>
    <row r="17">
      <c r="A17" s="1"/>
      <c r="B17" s="1"/>
      <c r="C17" s="1"/>
      <c r="D17" s="1"/>
      <c r="E17" s="1"/>
    </row>
    <row r="18" ht="15.75" customHeight="1">
      <c r="A18" s="1" t="s">
        <v>26</v>
      </c>
      <c r="B18" s="1" t="s">
        <v>27</v>
      </c>
      <c r="C18" s="3" t="s">
        <v>28</v>
      </c>
      <c r="D18" s="3">
        <v>7500.0</v>
      </c>
      <c r="E18" s="3">
        <v>15000.0</v>
      </c>
    </row>
    <row r="19" ht="15.75" customHeight="1">
      <c r="A19" s="1"/>
      <c r="B19" s="3" t="s">
        <v>29</v>
      </c>
      <c r="C19" s="3" t="s">
        <v>30</v>
      </c>
      <c r="D19" s="3">
        <v>3000.0</v>
      </c>
      <c r="E19" s="3">
        <v>3500.0</v>
      </c>
    </row>
    <row r="20" ht="15.75" customHeight="1">
      <c r="A20" s="1"/>
      <c r="B20" s="3" t="s">
        <v>31</v>
      </c>
      <c r="C20" s="3" t="s">
        <v>32</v>
      </c>
      <c r="D20" s="3">
        <v>3000.0</v>
      </c>
      <c r="E20" s="3">
        <v>3500.0</v>
      </c>
    </row>
    <row r="21" ht="15.75" customHeight="1">
      <c r="A21" s="1"/>
      <c r="B21" s="3" t="s">
        <v>33</v>
      </c>
      <c r="C21" s="3" t="s">
        <v>34</v>
      </c>
      <c r="D21" s="3">
        <v>3000.0</v>
      </c>
      <c r="E21" s="3">
        <v>3500.0</v>
      </c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 t="s">
        <v>35</v>
      </c>
      <c r="C23" s="1" t="s">
        <v>36</v>
      </c>
      <c r="D23" s="1">
        <f>SUM(D3,D6,D9:D13,D16,D18:D21)</f>
        <v>51900</v>
      </c>
      <c r="E23" s="1">
        <f>SUM(E3,E6,E14,E16,E18:E21)</f>
        <v>67400</v>
      </c>
    </row>
    <row r="24" ht="15.75" customHeight="1">
      <c r="A24" s="1"/>
      <c r="B24" s="1"/>
      <c r="C24" s="1" t="s">
        <v>37</v>
      </c>
      <c r="D24" s="1">
        <v>3000.0</v>
      </c>
      <c r="E24" s="1">
        <v>3000.0</v>
      </c>
    </row>
    <row r="25" ht="15.75" customHeight="1">
      <c r="A25" s="1"/>
      <c r="B25" s="1" t="s">
        <v>35</v>
      </c>
      <c r="C25" s="1" t="s">
        <v>38</v>
      </c>
      <c r="D25" s="1">
        <f t="shared" ref="D25:E25" si="2">SUM(D23,D24)</f>
        <v>54900</v>
      </c>
      <c r="E25" s="1">
        <f t="shared" si="2"/>
        <v>70400</v>
      </c>
    </row>
    <row r="26" ht="15.75" customHeight="1">
      <c r="A26" s="1"/>
      <c r="B26" s="1"/>
      <c r="C26" s="1"/>
      <c r="D26" s="1"/>
      <c r="E26" s="1"/>
    </row>
    <row r="27" ht="15.75" customHeight="1">
      <c r="A27" s="4" t="s">
        <v>39</v>
      </c>
      <c r="B27" s="1"/>
      <c r="C27" s="1"/>
      <c r="D27" s="1"/>
      <c r="E27" s="1"/>
    </row>
    <row r="28" ht="15.75" customHeight="1">
      <c r="A28" s="1" t="s">
        <v>40</v>
      </c>
      <c r="B28" s="1">
        <f>E25-D25</f>
        <v>15500</v>
      </c>
      <c r="C28" s="1"/>
      <c r="D28" s="1"/>
      <c r="E28" s="1"/>
    </row>
    <row r="29" ht="15.75" customHeight="1">
      <c r="A29" s="1" t="s">
        <v>41</v>
      </c>
      <c r="B29" s="1">
        <f>E23*20/100</f>
        <v>13480</v>
      </c>
      <c r="C29" s="1"/>
      <c r="D29" s="1"/>
      <c r="E29" s="1"/>
    </row>
    <row r="30" ht="15.75" customHeight="1">
      <c r="A30" s="1" t="s">
        <v>42</v>
      </c>
      <c r="B30" s="1">
        <f>SUM(B28:B29)</f>
        <v>28980</v>
      </c>
      <c r="C30" s="1"/>
      <c r="D30" s="1"/>
      <c r="E30" s="1"/>
    </row>
    <row r="31" ht="15.75" customHeight="1">
      <c r="A31" s="1" t="s">
        <v>43</v>
      </c>
      <c r="B31" s="1">
        <f>B30*20/100</f>
        <v>5796</v>
      </c>
      <c r="C31" s="1"/>
      <c r="D31" s="1"/>
      <c r="E31" s="1"/>
    </row>
    <row r="32" ht="15.75" customHeight="1">
      <c r="A32" s="1" t="s">
        <v>44</v>
      </c>
      <c r="B32" s="1">
        <f>B30-B31</f>
        <v>23184</v>
      </c>
      <c r="C32" s="1"/>
      <c r="D32" s="1"/>
      <c r="E32" s="1"/>
    </row>
    <row r="33" ht="15.75" customHeight="1">
      <c r="A33" s="1" t="s">
        <v>45</v>
      </c>
      <c r="B33" s="1">
        <f>SUM(E25,B29)</f>
        <v>83880</v>
      </c>
      <c r="C33" s="1"/>
      <c r="D33" s="1"/>
      <c r="E33" s="1"/>
    </row>
    <row r="34" ht="15.75" customHeight="1">
      <c r="A34" s="3" t="s">
        <v>46</v>
      </c>
      <c r="B34" s="3">
        <v>34800.0</v>
      </c>
      <c r="C34" s="1"/>
      <c r="D34" s="1"/>
      <c r="E34" s="1"/>
    </row>
    <row r="35" ht="15.75" customHeight="1">
      <c r="A35" s="3" t="s">
        <v>47</v>
      </c>
      <c r="B35" s="1">
        <f>B33-B34</f>
        <v>49080</v>
      </c>
      <c r="C35" s="1"/>
      <c r="D35" s="1"/>
      <c r="E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6.13"/>
    <col customWidth="1" min="3" max="3" width="19.75"/>
    <col customWidth="1" min="4" max="4" width="7.63"/>
    <col customWidth="1" min="5" max="5" width="11.0"/>
    <col customWidth="1" min="6" max="26" width="7.63"/>
  </cols>
  <sheetData>
    <row r="1">
      <c r="A1" s="1" t="s">
        <v>0</v>
      </c>
      <c r="B1" s="1"/>
      <c r="C1" s="1"/>
      <c r="D1" s="1"/>
      <c r="E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10</v>
      </c>
      <c r="B3" s="1" t="s">
        <v>11</v>
      </c>
      <c r="C3" s="3" t="s">
        <v>48</v>
      </c>
      <c r="D3" s="3">
        <v>4000.0</v>
      </c>
      <c r="E3" s="1">
        <v>6000.0</v>
      </c>
    </row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  <row r="6">
      <c r="A6" s="1" t="s">
        <v>49</v>
      </c>
      <c r="B6" s="3" t="s">
        <v>27</v>
      </c>
      <c r="C6" s="3" t="s">
        <v>50</v>
      </c>
      <c r="D6" s="1">
        <v>3000.0</v>
      </c>
      <c r="E6" s="1">
        <f t="shared" ref="E6:E7" si="1">D6*50/100+D6</f>
        <v>4500</v>
      </c>
    </row>
    <row r="7">
      <c r="A7" s="1"/>
      <c r="B7" s="3" t="s">
        <v>31</v>
      </c>
      <c r="C7" s="3" t="s">
        <v>51</v>
      </c>
      <c r="D7" s="1">
        <v>3000.0</v>
      </c>
      <c r="E7" s="1">
        <f t="shared" si="1"/>
        <v>4500</v>
      </c>
    </row>
    <row r="8">
      <c r="A8" s="1"/>
      <c r="B8" s="1"/>
      <c r="C8" s="1"/>
      <c r="D8" s="1">
        <f t="shared" ref="D8:E8" si="2">SUM(D6:D7)</f>
        <v>6000</v>
      </c>
      <c r="E8" s="1">
        <f t="shared" si="2"/>
        <v>9000</v>
      </c>
    </row>
    <row r="9">
      <c r="A9" s="1"/>
      <c r="B9" s="1"/>
      <c r="C9" s="1"/>
      <c r="D9" s="1"/>
      <c r="E9" s="1"/>
    </row>
    <row r="10">
      <c r="A10" s="1" t="s">
        <v>24</v>
      </c>
      <c r="B10" s="3" t="s">
        <v>25</v>
      </c>
      <c r="C10" s="3" t="s">
        <v>12</v>
      </c>
      <c r="D10" s="3">
        <v>5000.0</v>
      </c>
      <c r="E10" s="3">
        <v>6000.0</v>
      </c>
    </row>
    <row r="11">
      <c r="A11" s="1"/>
      <c r="B11" s="1"/>
      <c r="C11" s="1"/>
      <c r="D11" s="1"/>
      <c r="E11" s="1"/>
    </row>
    <row r="12">
      <c r="A12" s="1" t="s">
        <v>52</v>
      </c>
      <c r="B12" s="3" t="s">
        <v>53</v>
      </c>
      <c r="C12" s="3" t="s">
        <v>54</v>
      </c>
      <c r="D12" s="3">
        <v>5000.0</v>
      </c>
      <c r="E12" s="1">
        <f>D12*50/100+D12</f>
        <v>7500</v>
      </c>
    </row>
    <row r="13" ht="15.75" customHeight="1">
      <c r="A13" s="1"/>
      <c r="B13" s="1" t="s">
        <v>55</v>
      </c>
      <c r="C13" s="1" t="s">
        <v>56</v>
      </c>
      <c r="D13" s="3">
        <v>4500.0</v>
      </c>
      <c r="E13" s="3">
        <v>5000.0</v>
      </c>
    </row>
    <row r="14" ht="15.75" customHeight="1">
      <c r="A14" s="1"/>
      <c r="B14" s="1" t="s">
        <v>18</v>
      </c>
      <c r="C14" s="1" t="s">
        <v>57</v>
      </c>
      <c r="D14" s="3">
        <v>4500.0</v>
      </c>
      <c r="E14" s="3">
        <v>5000.0</v>
      </c>
    </row>
    <row r="15" ht="15.75" customHeight="1">
      <c r="A15" s="1"/>
      <c r="B15" s="1" t="s">
        <v>20</v>
      </c>
      <c r="C15" s="1" t="s">
        <v>58</v>
      </c>
      <c r="D15" s="3">
        <v>4500.0</v>
      </c>
      <c r="E15" s="3">
        <v>5000.0</v>
      </c>
    </row>
    <row r="16" ht="15.75" customHeight="1">
      <c r="A16" s="1"/>
      <c r="B16" s="1"/>
      <c r="C16" s="1"/>
      <c r="D16" s="1">
        <f t="shared" ref="D16:E16" si="3">SUM(D12:D15)</f>
        <v>18500</v>
      </c>
      <c r="E16" s="1">
        <f t="shared" si="3"/>
        <v>22500</v>
      </c>
    </row>
    <row r="17" ht="15.75" customHeight="1">
      <c r="A17" s="1"/>
      <c r="B17" s="1"/>
      <c r="C17" s="1"/>
      <c r="D17" s="1"/>
      <c r="E17" s="1"/>
    </row>
    <row r="18" ht="15.75" customHeight="1">
      <c r="A18" s="1" t="s">
        <v>26</v>
      </c>
      <c r="B18" s="1" t="s">
        <v>27</v>
      </c>
      <c r="C18" s="1" t="s">
        <v>30</v>
      </c>
      <c r="D18" s="1">
        <v>10000.0</v>
      </c>
      <c r="E18" s="1">
        <f>D18*20/100+D18</f>
        <v>12000</v>
      </c>
    </row>
    <row r="19" ht="15.75" customHeight="1">
      <c r="A19" s="1"/>
      <c r="B19" s="1"/>
      <c r="C19" s="1"/>
      <c r="D19" s="1"/>
      <c r="E19" s="1"/>
    </row>
    <row r="20" ht="15.75" customHeight="1">
      <c r="A20" s="1"/>
      <c r="B20" s="1" t="s">
        <v>35</v>
      </c>
      <c r="C20" s="1" t="s">
        <v>36</v>
      </c>
      <c r="D20" s="1">
        <f>SUM(D3,D6:D7,D10,D12:D15,D18)</f>
        <v>43500</v>
      </c>
      <c r="E20" s="1">
        <f>SUM(E3,E6:E7,E10,E16,E18)</f>
        <v>55500</v>
      </c>
    </row>
    <row r="21" ht="15.75" customHeight="1">
      <c r="A21" s="1"/>
      <c r="B21" s="1"/>
      <c r="C21" s="1" t="s">
        <v>37</v>
      </c>
      <c r="D21" s="1">
        <v>3000.0</v>
      </c>
      <c r="E21" s="1">
        <v>3000.0</v>
      </c>
    </row>
    <row r="22" ht="15.75" customHeight="1">
      <c r="A22" s="1"/>
      <c r="B22" s="1" t="s">
        <v>35</v>
      </c>
      <c r="C22" s="1" t="s">
        <v>38</v>
      </c>
      <c r="D22" s="1">
        <f t="shared" ref="D22:E22" si="4">SUM(D20,D21)</f>
        <v>46500</v>
      </c>
      <c r="E22" s="1">
        <f t="shared" si="4"/>
        <v>58500</v>
      </c>
    </row>
    <row r="23" ht="15.75" customHeight="1">
      <c r="A23" s="1"/>
      <c r="B23" s="1"/>
      <c r="C23" s="1"/>
      <c r="D23" s="1"/>
      <c r="E23" s="1"/>
    </row>
    <row r="24" ht="15.75" customHeight="1">
      <c r="A24" s="4" t="s">
        <v>39</v>
      </c>
      <c r="B24" s="1"/>
      <c r="C24" s="1"/>
      <c r="D24" s="1"/>
      <c r="E24" s="1"/>
    </row>
    <row r="25" ht="15.75" customHeight="1">
      <c r="A25" s="1" t="s">
        <v>40</v>
      </c>
      <c r="B25" s="1">
        <f>E22-D22</f>
        <v>12000</v>
      </c>
      <c r="C25" s="1"/>
      <c r="D25" s="1"/>
      <c r="E25" s="1"/>
    </row>
    <row r="26" ht="15.75" customHeight="1">
      <c r="A26" s="1" t="s">
        <v>41</v>
      </c>
      <c r="B26" s="1">
        <f>E20*20/100</f>
        <v>11100</v>
      </c>
      <c r="C26" s="1"/>
      <c r="D26" s="1"/>
      <c r="E26" s="1"/>
    </row>
    <row r="27" ht="15.75" customHeight="1">
      <c r="A27" s="1" t="s">
        <v>42</v>
      </c>
      <c r="B27" s="1">
        <f>SUM(B25:B26)</f>
        <v>23100</v>
      </c>
      <c r="C27" s="1"/>
      <c r="D27" s="1"/>
      <c r="E27" s="1"/>
    </row>
    <row r="28" ht="15.75" customHeight="1">
      <c r="A28" s="1" t="s">
        <v>43</v>
      </c>
      <c r="B28" s="1">
        <f>B27*20/100</f>
        <v>4620</v>
      </c>
      <c r="C28" s="1"/>
      <c r="D28" s="1"/>
      <c r="E28" s="1"/>
    </row>
    <row r="29" ht="15.75" customHeight="1">
      <c r="A29" s="1" t="s">
        <v>44</v>
      </c>
      <c r="B29" s="1">
        <f>B27-B28</f>
        <v>18480</v>
      </c>
      <c r="C29" s="1"/>
      <c r="D29" s="1"/>
      <c r="E29" s="1"/>
    </row>
    <row r="30" ht="15.75" customHeight="1">
      <c r="A30" s="1" t="s">
        <v>45</v>
      </c>
      <c r="B30" s="1">
        <f>SUM(E22,B26)</f>
        <v>69600</v>
      </c>
      <c r="C30" s="1"/>
      <c r="D30" s="1"/>
      <c r="E30" s="1"/>
    </row>
    <row r="31" ht="15.75" customHeight="1">
      <c r="A31" s="3" t="s">
        <v>46</v>
      </c>
      <c r="B31" s="1">
        <f>B30/2</f>
        <v>34800</v>
      </c>
      <c r="C31" s="1"/>
      <c r="D31" s="1"/>
      <c r="E31" s="1"/>
    </row>
    <row r="32" ht="15.75" customHeight="1">
      <c r="A32" s="2" t="s">
        <v>47</v>
      </c>
      <c r="B32" s="5">
        <f>B30-B31</f>
        <v>34800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2020-11-10T11:23:59Z</dcterms:created>
  <dc:creator>Daniela Marano</dc:creator>
</cp:coreProperties>
</file>